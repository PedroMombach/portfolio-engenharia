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7bb643aab195ebb/Documentos/Scripts/Portfolio/SeletorBombasMK3/"/>
    </mc:Choice>
  </mc:AlternateContent>
  <xr:revisionPtr revIDLastSave="198" documentId="11_AB375457A70E6AE6636F6B6EBE5E551F87BEC242" xr6:coauthVersionLast="47" xr6:coauthVersionMax="47" xr10:uidLastSave="{5FECB534-500A-4DEE-A2C4-28E03CE6E09C}"/>
  <bookViews>
    <workbookView xWindow="-120" yWindow="-120" windowWidth="29040" windowHeight="15720" activeTab="5" xr2:uid="{00000000-000D-0000-FFFF-FFFF00000000}"/>
  </bookViews>
  <sheets>
    <sheet name="CurvaMax" sheetId="1" r:id="rId1"/>
    <sheet name="CurvaMin" sheetId="9" r:id="rId2"/>
    <sheet name="Bomba 1" sheetId="7" r:id="rId3"/>
    <sheet name="Bomba 2" sheetId="8" r:id="rId4"/>
    <sheet name="Bomba 3" sheetId="5" r:id="rId5"/>
    <sheet name="CurvasSistema" sheetId="6" r:id="rId6"/>
  </sheets>
  <definedNames>
    <definedName name="_xlnm.Print_Area" localSheetId="2">'Bomba 1'!$B$2:$O$51</definedName>
    <definedName name="_xlnm.Print_Area" localSheetId="3">'Bomba 2'!$B$2:$O$51</definedName>
    <definedName name="_xlnm.Print_Area" localSheetId="4">'Bomba 3'!$B$2:$O$51</definedName>
    <definedName name="_xlnm.Print_Area" localSheetId="0">CurvaMax!$B$2:$N$43</definedName>
    <definedName name="_xlnm.Print_Area" localSheetId="1">CurvaMin!$B$2:$N$43</definedName>
    <definedName name="_xlnm.Print_Area" localSheetId="5">CurvasSistema!$A$1:$N$62</definedName>
  </definedNames>
  <calcPr fullCalcOnLoad="1"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<sst xmlns="http://schemas.openxmlformats.org/spreadsheetml/2006/main" count="182" uniqueCount="51">
  <si>
    <t>CONDIÇÕES DE INSTALAÇÃO</t>
  </si>
  <si>
    <t>Parâmetro</t>
  </si>
  <si>
    <t>Valor</t>
  </si>
  <si>
    <t>Altitude considerada</t>
  </si>
  <si>
    <t>Temperatura de trabalho</t>
  </si>
  <si>
    <t>Pressão atmosférica local</t>
  </si>
  <si>
    <t>Pressão de vapor do fluido</t>
  </si>
  <si>
    <t>CARACTERÍSTICAS TÉCNICAS DOS EQUIPAMENTOS</t>
  </si>
  <si>
    <t>Bomba 1</t>
  </si>
  <si>
    <t>Bomba 2</t>
  </si>
  <si>
    <t>Bomba 3</t>
  </si>
  <si>
    <t>Fabricante</t>
  </si>
  <si>
    <t>Modelo</t>
  </si>
  <si>
    <t>Potência do motor</t>
  </si>
  <si>
    <t>Número de polos</t>
  </si>
  <si>
    <t>Massa do conjunto</t>
  </si>
  <si>
    <t>Tensão de alimentação</t>
  </si>
  <si>
    <t>Submergência mínima</t>
  </si>
  <si>
    <t>ANÁLISE DE DESEMPENHO</t>
  </si>
  <si>
    <t>Vazão total</t>
  </si>
  <si>
    <t>Altura manométrica</t>
  </si>
  <si>
    <t>Eficiência hidráulica</t>
  </si>
  <si>
    <t>Rotação</t>
  </si>
  <si>
    <t>Potência de eixo</t>
  </si>
  <si>
    <t>Eficiência elétrica</t>
  </si>
  <si>
    <t>Potência elétrica consumida</t>
  </si>
  <si>
    <t>Folga no motor</t>
  </si>
  <si>
    <t>ANÁLISE DE CAVITAÇÃO</t>
  </si>
  <si>
    <t>Altura de sucção</t>
  </si>
  <si>
    <t xml:space="preserve">Perdas de carga na sucção </t>
  </si>
  <si>
    <t>NPSH disponível</t>
  </si>
  <si>
    <t>NPSH requerido</t>
  </si>
  <si>
    <t>Relação NPSHa/NPSHr</t>
  </si>
  <si>
    <t xml:space="preserve">Margem absoluta no NPSH </t>
  </si>
  <si>
    <t>OPERAÇÃO NOMINAL</t>
  </si>
  <si>
    <t>CURVA DE MÁXIMO</t>
  </si>
  <si>
    <t>CURVA DE MÍNIMO</t>
  </si>
  <si>
    <t>Frequência</t>
  </si>
  <si>
    <t xml:space="preserve">Rotação síncrona </t>
  </si>
  <si>
    <t>Escorregamento</t>
  </si>
  <si>
    <t>Vazão</t>
  </si>
  <si>
    <t>AMT</t>
  </si>
  <si>
    <t>Eficiência</t>
  </si>
  <si>
    <t>NPSHr</t>
  </si>
  <si>
    <t>Vazão (L/s)</t>
  </si>
  <si>
    <t>H mínimo (m.c.a.)</t>
  </si>
  <si>
    <t>H máximo (m.c.a.)</t>
  </si>
  <si>
    <t>Hg mínimo (m)</t>
  </si>
  <si>
    <t>Hg máximo (m)</t>
  </si>
  <si>
    <t>RESUMO — CARGA HIDRÁULICA MÁXIMA</t>
  </si>
  <si>
    <t>RESUMO — CARGA HIDRÁULICA MÍNIMA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</si>
</sst>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\ &quot;m&quot;"/>
    <numFmt numFmtId="165" formatCode="0.0\ &quot;°C&quot;"/>
    <numFmt numFmtId="166" formatCode="0.00\ &quot;m.c.a.&quot;"/>
    <numFmt numFmtId="167" formatCode="0.00\ &quot;kW&quot;"/>
    <numFmt numFmtId="168" formatCode="0\ &quot;kg&quot;"/>
    <numFmt numFmtId="169" formatCode="0\ &quot;V&quot;"/>
    <numFmt numFmtId="170" formatCode="0\ &quot;mm&quot;"/>
    <numFmt numFmtId="171" formatCode="0.0\ &quot;L/s&quot;"/>
    <numFmt numFmtId="172" formatCode="0.00\ &quot;m&quot;"/>
    <numFmt numFmtId="173" formatCode="0.0%"/>
    <numFmt numFmtId="174" formatCode="0\ &quot;rpm&quot;"/>
    <numFmt numFmtId="175" formatCode="0.0\ &quot;Hz&quot;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1F2933"/>
      <name val="Arial"/>
      <family val="2"/>
    </font>
    <font>
      <sz val="11"/>
      <color theme="1"/>
      <name val="Calibri"/>
      <family val="2"/>
      <scheme val="minor"/>
    </font>
    <font>
      <sz val="10"/>
      <color rgb="FF1F2933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7B6"/>
      </patternFill>
    </fill>
    <fill>
      <patternFill patternType="solid">
        <fgColor rgb="FFFFFFFF"/>
      </patternFill>
    </fill>
    <fill>
      <patternFill patternType="solid">
        <fgColor rgb="FFF2F0E8"/>
      </patternFill>
    </fill>
    <fill>
      <patternFill patternType="solid">
        <fgColor rgb="FF0077B6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7" fontId="2" fillId="4" borderId="2" xfId="0" applyNumberFormat="1" applyFont="1" applyFill="1" applyBorder="1" applyAlignment="1">
      <alignment horizontal="center" vertical="center"/>
    </xf>
    <xf numFmtId="168" fontId="2" fillId="4" borderId="2" xfId="0" applyNumberFormat="1" applyFont="1" applyFill="1" applyBorder="1" applyAlignment="1">
      <alignment horizontal="center" vertical="center"/>
    </xf>
    <xf numFmtId="169" fontId="2" fillId="3" borderId="2" xfId="0" applyNumberFormat="1" applyFont="1" applyFill="1" applyBorder="1" applyAlignment="1">
      <alignment horizontal="center" vertical="center"/>
    </xf>
    <xf numFmtId="170" fontId="2" fillId="4" borderId="2" xfId="0" applyNumberFormat="1" applyFont="1" applyFill="1" applyBorder="1" applyAlignment="1">
      <alignment horizontal="center" vertical="center"/>
    </xf>
    <xf numFmtId="171" fontId="2" fillId="4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72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73" fontId="2" fillId="4" borderId="2" xfId="1" applyNumberFormat="1" applyFont="1" applyFill="1" applyBorder="1" applyAlignment="1">
      <alignment horizontal="center" vertical="center"/>
    </xf>
    <xf numFmtId="174" fontId="2" fillId="3" borderId="2" xfId="0" applyNumberFormat="1" applyFont="1" applyFill="1" applyBorder="1" applyAlignment="1">
      <alignment horizontal="center" vertical="center"/>
    </xf>
    <xf numFmtId="173" fontId="2" fillId="3" borderId="2" xfId="1" applyNumberFormat="1" applyFont="1" applyFill="1" applyBorder="1" applyAlignment="1">
      <alignment horizontal="center" vertical="center"/>
    </xf>
    <xf numFmtId="171" fontId="2" fillId="3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2" fillId="3" borderId="2" xfId="1" applyNumberFormat="1" applyFont="1" applyFill="1" applyBorder="1" applyAlignment="1">
      <alignment horizontal="center" vertical="center"/>
    </xf>
    <xf numFmtId="175" fontId="2" fillId="3" borderId="2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5" fontId="2" fillId="4" borderId="4" xfId="0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164" fontId="2" fillId="3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6" fontId="2" fillId="3" borderId="4" xfId="0" applyNumberFormat="1" applyFont="1" applyFill="1" applyBorder="1" applyAlignment="1">
      <alignment horizontal="center" vertical="center"/>
    </xf>
    <xf numFmtId="166" fontId="2" fillId="4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65285260395081E-2"/>
          <c:y val="0.11518324607329843"/>
          <c:w val="0.87457590827462361"/>
          <c:h val="0.76588696046502058"/>
        </c:manualLayout>
      </c:layout>
      <c:scatterChart>
        <c:scatterStyle val="lineMarker"/>
        <c:varyColors val="1"/>
        <c:ser>
          <c:idx val="1"/>
          <c:order val="0"/>
          <c:tx>
            <c:v>Bomba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1'!$G$21:$G$51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1'!$H$21:$H$51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14-4173-BD07-15110A41DD11}"/>
            </c:ext>
          </c:extLst>
        </c:ser>
        <c:ser>
          <c:idx val="2"/>
          <c:order val="1"/>
          <c:tx>
            <c:v>Bomba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'Bomba 2'!$G$21:$G$51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2'!$H$21:$H$51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14-4173-BD07-15110A41DD11}"/>
            </c:ext>
          </c:extLst>
        </c:ser>
        <c:ser>
          <c:idx val="3"/>
          <c:order val="2"/>
          <c:tx>
            <c:v>Bomba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'Bomba 3'!$G$21:$G$51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3'!$H$21:$H$51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14-4173-BD07-15110A41DD11}"/>
            </c:ext>
          </c:extLst>
        </c:ser>
        <c:ser>
          <c:idx val="0"/>
          <c:order val="3"/>
          <c:tx>
            <c:v>Sistema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14-4173-BD07-15110A41D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AMT</a:t>
                </a:r>
              </a:p>
            </c:rich>
          </c:tx>
          <c:layout>
            <c:manualLayout>
              <c:xMode val="edge"/>
              <c:yMode val="edge"/>
              <c:x val="2.1052631578947368E-2"/>
              <c:y val="3.5290706462739282E-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m.c.a.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532435419256803"/>
          <c:y val="0.11867364746945899"/>
          <c:w val="0.10958792650918635"/>
          <c:h val="0.242090289938687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179655692644719E-2"/>
          <c:y val="0.14431086358107675"/>
          <c:w val="0.90283147677406461"/>
          <c:h val="0.69743294283336532"/>
        </c:manualLayout>
      </c:layout>
      <c:scatterChart>
        <c:scatterStyle val="lineMarker"/>
        <c:varyColors val="1"/>
        <c:ser>
          <c:idx val="0"/>
          <c:order val="0"/>
          <c:tx>
            <c:v>Bomba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1'!$I$21:$I$51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C6-4B3F-B4B1-EFD938C747AD}"/>
            </c:ext>
          </c:extLst>
        </c:ser>
        <c:ser>
          <c:idx val="1"/>
          <c:order val="1"/>
          <c:tx>
            <c:v>Bomba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2'!$G$21:$G$51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2'!$I$21:$I$51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C6-4B3F-B4B1-EFD938C747AD}"/>
            </c:ext>
          </c:extLst>
        </c:ser>
        <c:ser>
          <c:idx val="2"/>
          <c:order val="2"/>
          <c:tx>
            <c:v>Bomba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'Bomba 3'!$G$21:$G$51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3'!$I$21:$I$51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C6-4B3F-B4B1-EFD938C74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Eficiência</a:t>
                </a:r>
              </a:p>
            </c:rich>
          </c:tx>
          <c:layout>
            <c:manualLayout>
              <c:xMode val="edge"/>
              <c:yMode val="edge"/>
              <c:x val="8.7489063867016627E-3"/>
              <c:y val="2.9057038601882069E-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220451774236872"/>
          <c:y val="0.14634146341463414"/>
          <c:w val="0.10930029415614387"/>
          <c:h val="0.274392164394084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379746601182953E-2"/>
          <c:y val="0.15556710697470816"/>
          <c:w val="0.87186882007369193"/>
          <c:h val="0.65997706849853388"/>
        </c:manualLayout>
      </c:layout>
      <c:scatterChart>
        <c:scatterStyle val="lineMarker"/>
        <c:varyColors val="1"/>
        <c:ser>
          <c:idx val="0"/>
          <c:order val="0"/>
          <c:tx>
            <c:v>Bomba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1'!$J$21:$J$51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F8-436E-A565-21D22911CA5B}"/>
            </c:ext>
          </c:extLst>
        </c:ser>
        <c:ser>
          <c:idx val="1"/>
          <c:order val="1"/>
          <c:tx>
            <c:v>Bomba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F8-436E-A565-21D22911CA5B}"/>
            </c:ext>
          </c:extLst>
        </c:ser>
        <c:ser>
          <c:idx val="2"/>
          <c:order val="2"/>
          <c:tx>
            <c:v>Bomba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'Bomba 3'!$G$21:$G$51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3'!$J$21:$J$51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F8-436E-A565-21D22911C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 (L/s)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NPSHr</a:t>
                </a:r>
              </a:p>
            </c:rich>
          </c:tx>
          <c:layout>
            <c:manualLayout>
              <c:xMode val="edge"/>
              <c:yMode val="edge"/>
              <c:x val="1.9293765324007506E-2"/>
              <c:y val="3.3216851917715208E-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m.c.a.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88658994920505"/>
          <c:y val="0.15793387669219308"/>
          <c:w val="0.10956248452320991"/>
          <c:h val="0.319818338734589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179655692644719E-2"/>
          <c:y val="0.14431086358107675"/>
          <c:w val="0.90283147677406461"/>
          <c:h val="0.69743294283336532"/>
        </c:manualLayout>
      </c:layout>
      <c:scatterChart>
        <c:scatterStyle val="lineMarker"/>
        <c:varyColors val="1"/>
        <c:ser>
          <c:idx val="0"/>
          <c:order val="0"/>
          <c:tx>
            <c:v>Bomba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1'!$N$21:$N$51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111-466C-8BC5-76EE8C5663A9}"/>
            </c:ext>
          </c:extLst>
        </c:ser>
        <c:ser>
          <c:idx val="1"/>
          <c:order val="1"/>
          <c:tx>
            <c:v>Bomba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2'!$L$21:$L$51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2'!$N$21:$N$51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111-466C-8BC5-76EE8C5663A9}"/>
            </c:ext>
          </c:extLst>
        </c:ser>
        <c:ser>
          <c:idx val="2"/>
          <c:order val="2"/>
          <c:tx>
            <c:v>Bomba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'Bomba 3'!$L$21:$L$51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3'!$N$21:$N$51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111-466C-8BC5-76EE8C566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\ &quot;L/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Eficiência</a:t>
                </a:r>
              </a:p>
            </c:rich>
          </c:tx>
          <c:layout>
            <c:manualLayout>
              <c:xMode val="edge"/>
              <c:yMode val="edge"/>
              <c:x val="8.7489063867016627E-3"/>
              <c:y val="2.9057038601882069E-2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</c:plotArea>
    <c:legend>
      <c:legendPos val="tr"/>
      <c:layout>
        <c:manualLayout>
          <c:xMode val="edge"/>
          <c:yMode val="edge"/>
          <c:x val="0.85220451774236872"/>
          <c:y val="0.14634146341463414"/>
          <c:w val="0.10930029415614387"/>
          <c:h val="0.274392164394084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379746601182953E-2"/>
          <c:y val="0.15556710697470816"/>
          <c:w val="0.87186882007369193"/>
          <c:h val="0.65997706849853388"/>
        </c:manualLayout>
      </c:layout>
      <c:scatterChart>
        <c:scatterStyle val="lineMarker"/>
        <c:varyColors val="1"/>
        <c:ser>
          <c:idx val="3"/>
          <c:order val="0"/>
          <c:tx>
            <c:v>Bomba 1</c:v>
          </c:tx>
          <c:spPr>
            <a:ln w="19050" cap="rnd" cmpd="sng" algn="ctr">
              <a:solidFill>
                <a:schemeClr val="accent3">
                  <a:shade val="6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'Bomba 1'!$L$21:$L$51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1'!$O$21:$O$51</c:f>
              <c:numCache>
                <c:formatCode>0.00\ "m.c.a."</c:formatCode>
                <c:ptCount val="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424-4FD5-9FFC-37E00C616794}"/>
            </c:ext>
          </c:extLst>
        </c:ser>
        <c:ser>
          <c:idx val="4"/>
          <c:order val="1"/>
          <c:tx>
            <c:v>Bomba 2</c:v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'Bomba 2'!$L$21:$L$51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2'!$O$21:$O$51</c:f>
              <c:numCache>
                <c:formatCode>0.00\ "m.c.a."</c:formatCode>
                <c:ptCount val="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424-4FD5-9FFC-37E00C616794}"/>
            </c:ext>
          </c:extLst>
        </c:ser>
        <c:ser>
          <c:idx val="5"/>
          <c:order val="2"/>
          <c:tx>
            <c:v>Bomba 3</c:v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'Bomba 3'!$L$21:$L$51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3'!$O$21:$O$51</c:f>
              <c:numCache>
                <c:formatCode>0.00\ "m.c.a."</c:formatCode>
                <c:ptCount val="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424-4FD5-9FFC-37E00C616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 (L/s)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NPSHr</a:t>
                </a:r>
              </a:p>
            </c:rich>
          </c:tx>
          <c:layout>
            <c:manualLayout>
              <c:xMode val="edge"/>
              <c:yMode val="edge"/>
              <c:x val="1.9293765324007506E-2"/>
              <c:y val="3.3216851917715208E-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m.c.a.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88658994920505"/>
          <c:y val="0.15793387669219308"/>
          <c:w val="0.10956248452320991"/>
          <c:h val="0.319818338734589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65285260395081E-2"/>
          <c:y val="0.11518324607329843"/>
          <c:w val="0.87457590827462361"/>
          <c:h val="0.76588696046502058"/>
        </c:manualLayout>
      </c:layout>
      <c:scatterChart>
        <c:scatterStyle val="lineMarker"/>
        <c:varyColors val="1"/>
        <c:ser>
          <c:idx val="1"/>
          <c:order val="0"/>
          <c:tx>
            <c:v>Bomba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1'!$L$21:$L$51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1'!$M$21:$M$51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AEF-47CE-9081-91B3A9906925}"/>
            </c:ext>
          </c:extLst>
        </c:ser>
        <c:ser>
          <c:idx val="2"/>
          <c:order val="1"/>
          <c:tx>
            <c:v>Bomba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'Bomba 2'!$L$21:$L$51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2'!$M$21:$M$51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2AEF-47CE-9081-91B3A9906925}"/>
            </c:ext>
          </c:extLst>
        </c:ser>
        <c:ser>
          <c:idx val="3"/>
          <c:order val="2"/>
          <c:tx>
            <c:v>Bomba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'Bomba 3'!$L$21:$L$51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3'!$M$21:$M$51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2AEF-47CE-9081-91B3A9906925}"/>
            </c:ext>
          </c:extLst>
        </c:ser>
        <c:ser>
          <c:idx val="0"/>
          <c:order val="3"/>
          <c:tx>
            <c:v>Sistema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AEF-47CE-9081-91B3A9906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\ &quot;L/s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AMT</a:t>
                </a:r>
              </a:p>
            </c:rich>
          </c:tx>
          <c:layout>
            <c:manualLayout>
              <c:xMode val="edge"/>
              <c:yMode val="edge"/>
              <c:x val="2.1052631578947368E-2"/>
              <c:y val="3.5290706462739282E-2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0.0\ &quot;m.c.a.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</c:plotArea>
    <c:legend>
      <c:legendPos val="tr"/>
      <c:layout>
        <c:manualLayout>
          <c:xMode val="edge"/>
          <c:yMode val="edge"/>
          <c:x val="0.85532435419256803"/>
          <c:y val="0.11867364746945899"/>
          <c:w val="0.10958792650918635"/>
          <c:h val="0.242090289938687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1'!$C$21:$C$51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45-4B30-AC89-A14D00512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1'!$B$21:$B$51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1'!$D$21:$D$51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45-4B30-AC89-A14D00512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Sist. Máx.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45-4B30-AC89-A14D00512115}"/>
            </c:ext>
          </c:extLst>
        </c:ser>
        <c:ser>
          <c:idx val="3"/>
          <c:order val="3"/>
          <c:tx>
            <c:v>Sist. Mín.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45-4B30-AC89-A14D00512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1'!$H$21:$H$51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B1-41B3-921E-CBC1AE1E8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1'!$G$21:$G$51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1'!$I$21:$I$51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B1-41B3-921E-CBC1AE1E8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Sistema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B1-41B3-921E-CBC1AE1E8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1'!$M$21:$M$51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D9-45F4-B022-4CE9C7554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1'!$L$21:$L$51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1'!$N$21:$N$51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D9-45F4-B022-4CE9C7554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3"/>
          <c:order val="2"/>
          <c:tx>
            <c:v>Sistema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D9-45F4-B022-4CE9C7554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2'!$B$21:$B$51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2'!$C$21:$C$51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66-49B5-9C61-A7F09AD79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2'!$B$21:$B$51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2'!$D$21:$D$51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66-49B5-9C61-A7F09AD79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Sist. Máx.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66-49B5-9C61-A7F09AD799A2}"/>
            </c:ext>
          </c:extLst>
        </c:ser>
        <c:ser>
          <c:idx val="3"/>
          <c:order val="3"/>
          <c:tx>
            <c:v>Sist. Mín.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66-49B5-9C61-A7F09AD79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2'!$G$21:$G$51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2'!$H$21:$H$51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AA-4B92-A5F7-47ECF5509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2'!$G$21:$G$51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2'!$I$21:$I$51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AA-4B92-A5F7-47ECF5509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Sistema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AA-4B92-A5F7-47ECF5509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2'!$L$21:$L$51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2'!$M$21:$M$51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65-4EF3-9DAF-8C85B6A96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2'!$L$21:$L$51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2'!$N$21:$N$51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65-4EF3-9DAF-8C85B6A96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3"/>
          <c:order val="2"/>
          <c:tx>
            <c:v>Sistema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65-4EF3-9DAF-8C85B6A96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3'!$B$21:$B$51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3'!$C$21:$C$51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B6-4E3D-A487-95D3C88FF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3'!$B$21:$B$51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3'!$D$21:$D$51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B6-4E3D-A487-95D3C88FF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Sist. Máx.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B6-4E3D-A487-95D3C88FF7EC}"/>
            </c:ext>
          </c:extLst>
        </c:ser>
        <c:ser>
          <c:idx val="3"/>
          <c:order val="3"/>
          <c:tx>
            <c:v>Sist. Mín.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CD-47FF-B04C-4D32E0A70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3'!$G$21:$G$51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3'!$H$21:$H$51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3B-43AD-82AC-A3161D95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3'!$G$21:$G$51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3'!$I$21:$I$51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3B-43AD-82AC-A3161D95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Sistema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3B-43AD-82AC-A3161D95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3'!$L$21:$L$51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3'!$M$21:$M$51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05-44F5-858C-177C7166E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3'!$L$21:$L$51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3'!$N$21:$N$51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05-44F5-858C-177C7166E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3"/>
          <c:order val="2"/>
          <c:tx>
            <c:v>Sistema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05-44F5-858C-177C7166E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65285260395081E-2"/>
          <c:y val="0.11518324607329843"/>
          <c:w val="0.87457590827462361"/>
          <c:h val="0.76588696046502058"/>
        </c:manualLayout>
      </c:layout>
      <c:scatterChart>
        <c:scatterStyle val="lineMarker"/>
        <c:varyColors val="1"/>
        <c:ser>
          <c:idx val="1"/>
          <c:order val="0"/>
          <c:tx>
            <c:v>Mínimo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8C-496D-AF57-8BCCB74F77B4}"/>
            </c:ext>
          </c:extLst>
        </c:ser>
        <c:ser>
          <c:idx val="2"/>
          <c:order val="1"/>
          <c:tx>
            <c:v>Máximo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8C-496D-AF57-8BCCB74F7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\ &quot;L/s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</c:plotArea>
    <c:legend>
      <c:legendPos val="tr"/>
      <c:layout>
        <c:manualLayout>
          <c:xMode val="edge"/>
          <c:yMode val="edge"/>
          <c:x val="9.2417166913541737E-2"/>
          <c:y val="0.11867370696310019"/>
          <c:w val="0.14807272727272724"/>
          <c:h val="0.179345252431681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5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10583</xdr:colOff>
      <xdr:row>1</xdr:row>
      <xdr:rowOff>0</xdr:rowOff>
    </xdr:from>
    <xdr:ext cx="7239000" cy="354105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20</xdr:row>
      <xdr:rowOff>9526</xdr:rowOff>
    </xdr:from>
    <xdr:ext cx="7258050" cy="23431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20730</xdr:colOff>
      <xdr:row>32</xdr:row>
      <xdr:rowOff>174812</xdr:rowOff>
    </xdr:from>
    <xdr:ext cx="7240681" cy="201033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20</xdr:row>
      <xdr:rowOff>9526</xdr:rowOff>
    </xdr:from>
    <xdr:ext cx="7258050" cy="23431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0C2A05-8CF7-414F-8B34-BF7C3A6BC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20730</xdr:colOff>
      <xdr:row>32</xdr:row>
      <xdr:rowOff>174812</xdr:rowOff>
    </xdr:from>
    <xdr:ext cx="7240681" cy="201033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70E5B6-B1EB-4D29-84DA-BB5027897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9249</xdr:colOff>
      <xdr:row>1</xdr:row>
      <xdr:rowOff>2542</xdr:rowOff>
    </xdr:from>
    <xdr:ext cx="7250206" cy="354105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E97225-27EF-482A-824F-13A6B8931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133349</xdr:colOff>
      <xdr:row>2</xdr:row>
      <xdr:rowOff>9525</xdr:rowOff>
    </xdr:from>
    <xdr:ext cx="5762625" cy="2905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F6EF12-2CF2-41B9-B981-A963B1B18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</xdr:row>
      <xdr:rowOff>0</xdr:rowOff>
    </xdr:from>
    <xdr:ext cx="5762625" cy="29241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03B7B3-00D5-48E9-8B20-D500F8A99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2</xdr:row>
      <xdr:rowOff>1</xdr:rowOff>
    </xdr:from>
    <xdr:ext cx="5762625" cy="291464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051E2A-FE4D-46C0-8969-4AB8C4782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133349</xdr:colOff>
      <xdr:row>2</xdr:row>
      <xdr:rowOff>9525</xdr:rowOff>
    </xdr:from>
    <xdr:ext cx="5762625" cy="2905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7ABD9C-82A4-4A98-997E-BFCC67807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</xdr:row>
      <xdr:rowOff>0</xdr:rowOff>
    </xdr:from>
    <xdr:ext cx="5762625" cy="29241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96080D-FAE4-445E-A28A-4290C9082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2</xdr:row>
      <xdr:rowOff>1</xdr:rowOff>
    </xdr:from>
    <xdr:ext cx="5762625" cy="291464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FBBBF4-660E-4EE6-AB43-531645755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133349</xdr:colOff>
      <xdr:row>2</xdr:row>
      <xdr:rowOff>9525</xdr:rowOff>
    </xdr:from>
    <xdr:ext cx="5762625" cy="2905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</xdr:row>
      <xdr:rowOff>0</xdr:rowOff>
    </xdr:from>
    <xdr:ext cx="5762625" cy="2924175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FA65C87-B224-44A0-892B-A33A002A7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2</xdr:row>
      <xdr:rowOff>1</xdr:rowOff>
    </xdr:from>
    <xdr:ext cx="5762625" cy="2914649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37AD24-343A-4D10-80E0-08EF8D994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190499</xdr:rowOff>
    </xdr:from>
    <xdr:ext cx="7696200" cy="4048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4A73"/>
  </sheetPr>
  <dimension ref="B2:E43"/>
  <sheetViews>
    <sheetView showGridLines="0" zoomScale="90" zoomScaleNormal="90" workbookViewId="0">
      <pane ySplit="20" topLeftCell="A21" activePane="bottomLeft" state="frozen"/>
      <selection pane="bottomLeft" activeCell="U7" sqref="U7"/>
    </sheetView>
  </sheetViews>
  <sheetFormatPr defaultRowHeight="15" x14ac:dyDescent="0.25"/>
  <cols>
    <col min="1" max="1" width="2" customWidth="1"/>
    <col min="2" max="2" width="39" customWidth="1"/>
    <col min="3" max="5" width="18" style="4" customWidth="1"/>
    <col min="6" max="6" width="2" customWidth="1"/>
    <col min="7" max="14" width="12" customWidth="1"/>
  </cols>
  <sheetData>
    <row r="2" spans="2:5" ht="20.100000000000001" customHeight="1" x14ac:dyDescent="0.25">
      <c r="B2" s="27" t="s">
        <v>49</v>
      </c>
      <c r="C2" s="28"/>
      <c r="D2" s="28"/>
      <c r="E2" s="28"/>
    </row>
    <row r="4" spans="2:5" x14ac:dyDescent="0.25">
      <c r="B4" s="27" t="s">
        <v>0</v>
      </c>
      <c r="C4" s="28"/>
      <c r="D4" s="28"/>
      <c r="E4" s="28"/>
    </row>
    <row r="5" spans="2:5" x14ac:dyDescent="0.25">
      <c r="B5" s="1" t="s">
        <v>1</v>
      </c>
      <c r="C5" s="33" t="s">
        <v>2</v>
      </c>
      <c r="D5" s="28"/>
      <c r="E5" s="28"/>
    </row>
    <row r="6" spans="2:5" x14ac:dyDescent="0.25">
      <c r="B6" s="10" t="s">
        <v>3</v>
      </c>
      <c r="C6" s="32">
        <v>120.0</v>
      </c>
      <c r="D6" s="30"/>
      <c r="E6" s="31"/>
    </row>
    <row r="7" spans="2:5" x14ac:dyDescent="0.25">
      <c r="B7" s="9" t="s">
        <v>4</v>
      </c>
      <c r="C7" s="29">
        <v>20.0</v>
      </c>
      <c r="D7" s="30"/>
      <c r="E7" s="31"/>
    </row>
    <row r="8" spans="2:5" x14ac:dyDescent="0.25">
      <c r="B8" s="10" t="s">
        <v>5</v>
      </c>
      <c r="C8" s="34">
        <v>10.210942600977065</v>
      </c>
      <c r="D8" s="30"/>
      <c r="E8" s="31"/>
    </row>
    <row r="9" spans="2:5" x14ac:dyDescent="0.25">
      <c r="B9" s="9" t="s">
        <v>6</v>
      </c>
      <c r="C9" s="35">
        <v>0.26</v>
      </c>
      <c r="D9" s="30"/>
      <c r="E9" s="31"/>
    </row>
    <row r="11" spans="2:5" ht="20.100000000000001" customHeight="1" x14ac:dyDescent="0.25">
      <c r="B11" s="27" t="s">
        <v>7</v>
      </c>
      <c r="C11" s="28"/>
      <c r="D11" s="28"/>
      <c r="E11" s="28"/>
    </row>
    <row r="12" spans="2:5" x14ac:dyDescent="0.25">
      <c r="B12" s="1" t="s">
        <v>1</v>
      </c>
      <c r="C12" s="1" t="s">
        <v>8</v>
      </c>
      <c r="D12" s="1" t="s">
        <v>9</v>
      </c>
      <c r="E12" s="1" t="s">
        <v>10</v>
      </c>
    </row>
    <row r="13" spans="2:5" x14ac:dyDescent="0.25">
      <c r="B13" s="3" t="s">
        <v>11</v>
      </c>
      <c r="C13" s="6" t="inlineStr">
        <is>
          <t xml:space="preserve">Fluxora</t>
        </is>
      </c>
      <c r="D13" s="6" t="inlineStr">
        <is>
          <t xml:space="preserve">HidroVale</t>
        </is>
      </c>
      <c r="E13" s="6" t="inlineStr">
        <is>
          <t xml:space="preserve">HidroVale</t>
        </is>
      </c>
    </row>
    <row r="14" spans="2:5" x14ac:dyDescent="0.25">
      <c r="B14" s="2" t="s">
        <v>12</v>
      </c>
      <c r="C14" s="5" t="inlineStr">
        <is>
          <t xml:space="preserve">FX-S03</t>
        </is>
      </c>
      <c r="D14" s="5" t="inlineStr">
        <is>
          <t xml:space="preserve">HV-S03</t>
        </is>
      </c>
      <c r="E14" s="5" t="inlineStr">
        <is>
          <t xml:space="preserve">HV-S04</t>
        </is>
      </c>
    </row>
    <row r="15" spans="2:5" x14ac:dyDescent="0.25">
      <c r="B15" s="7" t="s">
        <v>13</v>
      </c>
      <c r="C15" s="11">
        <v>7.5</v>
      </c>
      <c r="D15" s="11">
        <v>7.5</v>
      </c>
      <c r="E15" s="11">
        <v>11.0</v>
      </c>
    </row>
    <row r="16" spans="2:5" x14ac:dyDescent="0.25">
      <c r="B16" s="2" t="s">
        <v>14</v>
      </c>
      <c r="C16" s="5">
        <v>4</v>
      </c>
      <c r="D16" s="5">
        <v>4</v>
      </c>
      <c r="E16" s="5">
        <v>4</v>
      </c>
    </row>
    <row r="17" spans="2:5" x14ac:dyDescent="0.25">
      <c r="B17" s="7" t="s">
        <v>15</v>
      </c>
      <c r="C17" s="12">
        <v>93.2</v>
      </c>
      <c r="D17" s="12">
        <v>93.2</v>
      </c>
      <c r="E17" s="12">
        <v>125.5</v>
      </c>
    </row>
    <row r="18" spans="2:5" x14ac:dyDescent="0.25">
      <c r="B18" s="8" t="s">
        <v>16</v>
      </c>
      <c r="C18" s="13">
        <v>380</v>
      </c>
      <c r="D18" s="13">
        <v>380</v>
      </c>
      <c r="E18" s="13">
        <v>380</v>
      </c>
    </row>
    <row r="19" spans="2:5" x14ac:dyDescent="0.25">
      <c r="B19" s="7" t="s">
        <v>17</v>
      </c>
      <c r="C19" s="14">
        <v>251.2</v>
      </c>
      <c r="D19" s="14">
        <v>250.2</v>
      </c>
      <c r="E19" s="14">
        <v>272.0</v>
      </c>
    </row>
    <row r="21" spans="2:5" ht="20.100000000000001" customHeight="1" x14ac:dyDescent="0.25">
      <c r="B21" s="27" t="s">
        <v>18</v>
      </c>
      <c r="C21" s="28"/>
      <c r="D21" s="28"/>
      <c r="E21" s="28"/>
    </row>
    <row r="22" spans="2:5" x14ac:dyDescent="0.25">
      <c r="B22" s="1" t="s">
        <v>1</v>
      </c>
      <c r="C22" s="1" t="s">
        <v>8</v>
      </c>
      <c r="D22" s="1" t="s">
        <v>9</v>
      </c>
      <c r="E22" s="1" t="s">
        <v>10</v>
      </c>
    </row>
    <row r="23" spans="2:5" x14ac:dyDescent="0.25">
      <c r="B23" s="3" t="s">
        <v>11</v>
      </c>
      <c r="C23" s="6" t="inlineStr">
        <is>
          <t xml:space="preserve">Fluxora</t>
        </is>
      </c>
      <c r="D23" s="6" t="inlineStr">
        <is>
          <t xml:space="preserve">HidroVale</t>
        </is>
      </c>
      <c r="E23" s="6" t="inlineStr">
        <is>
          <t xml:space="preserve">HidroVale</t>
        </is>
      </c>
    </row>
    <row r="24" spans="2:5" x14ac:dyDescent="0.25">
      <c r="B24" s="2" t="s">
        <v>12</v>
      </c>
      <c r="C24" s="5" t="inlineStr">
        <is>
          <t xml:space="preserve">FX-S03</t>
        </is>
      </c>
      <c r="D24" s="5" t="inlineStr">
        <is>
          <t xml:space="preserve">HV-S03</t>
        </is>
      </c>
      <c r="E24" s="5" t="inlineStr">
        <is>
          <t xml:space="preserve">HV-S04</t>
        </is>
      </c>
    </row>
    <row r="25" spans="2:5" x14ac:dyDescent="0.25">
      <c r="B25" s="7" t="s">
        <v>19</v>
      </c>
      <c r="C25" s="15">
        <v>12.0</v>
      </c>
      <c r="D25" s="15">
        <v>12.0</v>
      </c>
      <c r="E25" s="15">
        <v>12.0</v>
      </c>
    </row>
    <row r="26" spans="2:5" x14ac:dyDescent="0.25">
      <c r="B26" s="8" t="s">
        <v>20</v>
      </c>
      <c r="C26" s="16">
        <v>24.0</v>
      </c>
      <c r="D26" s="16">
        <v>24.0</v>
      </c>
      <c r="E26" s="16">
        <v>24.0</v>
      </c>
    </row>
    <row r="27" spans="2:5" x14ac:dyDescent="0.25">
      <c r="B27" s="3" t="s">
        <v>21</v>
      </c>
      <c r="C27" s="19">
        <v>0.672879184876539</v>
      </c>
      <c r="D27" s="19">
        <v>0.6607150623834984</v>
      </c>
      <c r="E27" s="19">
        <v>0.6320659794260823</v>
      </c>
    </row>
    <row r="28" spans="2:5" x14ac:dyDescent="0.25">
      <c r="B28" s="8" t="s">
        <v>22</v>
      </c>
      <c r="C28" s="20">
        <v>1675.8132381073076</v>
      </c>
      <c r="D28" s="20">
        <v>1659.780189747394</v>
      </c>
      <c r="E28" s="20">
        <v>1575.1005478865047</v>
      </c>
    </row>
    <row r="29" spans="2:5" x14ac:dyDescent="0.25">
      <c r="B29" s="7" t="s">
        <v>23</v>
      </c>
      <c r="C29" s="11">
        <v>4.18812436154801</v>
      </c>
      <c r="D29" s="11">
        <v>4.265230001558964</v>
      </c>
      <c r="E29" s="11">
        <v>4.458556224017696</v>
      </c>
    </row>
    <row r="30" spans="2:5" x14ac:dyDescent="0.25">
      <c r="B30" s="2" t="s">
        <v>24</v>
      </c>
      <c r="C30" s="21">
        <v>0.8665</v>
      </c>
      <c r="D30" s="21">
        <v>0.8615</v>
      </c>
      <c r="E30" s="21">
        <v>0.8795</v>
      </c>
    </row>
    <row r="31" spans="2:5" x14ac:dyDescent="0.25">
      <c r="B31" s="7" t="s">
        <v>25</v>
      </c>
      <c r="C31" s="11">
        <v>4.833380682686682</v>
      </c>
      <c r="D31" s="11">
        <v>4.950934418524625</v>
      </c>
      <c r="E31" s="11">
        <v>5.069421516791013</v>
      </c>
    </row>
    <row r="32" spans="2:5" x14ac:dyDescent="0.25">
      <c r="B32" s="2" t="s">
        <v>26</v>
      </c>
      <c r="C32" s="21">
        <v>0.4415834184602653</v>
      </c>
      <c r="D32" s="21">
        <v>0.4313026664588048</v>
      </c>
      <c r="E32" s="21">
        <v>0.5946767069074822</v>
      </c>
    </row>
    <row r="34" spans="2:5" ht="20.100000000000001" customHeight="1" x14ac:dyDescent="0.25">
      <c r="B34" s="27" t="s">
        <v>27</v>
      </c>
      <c r="C34" s="28"/>
      <c r="D34" s="28"/>
      <c r="E34" s="28"/>
    </row>
    <row r="35" spans="2:5" x14ac:dyDescent="0.25">
      <c r="B35" s="1" t="s">
        <v>1</v>
      </c>
      <c r="C35" s="1" t="s">
        <v>8</v>
      </c>
      <c r="D35" s="1" t="s">
        <v>9</v>
      </c>
      <c r="E35" s="1" t="s">
        <v>10</v>
      </c>
    </row>
    <row r="36" spans="2:5" x14ac:dyDescent="0.25">
      <c r="B36" s="2" t="s">
        <v>11</v>
      </c>
      <c r="C36" s="5" t="inlineStr">
        <is>
          <t xml:space="preserve">Fluxora</t>
        </is>
      </c>
      <c r="D36" s="5" t="inlineStr">
        <is>
          <t xml:space="preserve">HidroVale</t>
        </is>
      </c>
      <c r="E36" s="5" t="inlineStr">
        <is>
          <t xml:space="preserve">HidroVale</t>
        </is>
      </c>
    </row>
    <row r="37" spans="2:5" x14ac:dyDescent="0.25">
      <c r="B37" s="3" t="s">
        <v>12</v>
      </c>
      <c r="C37" s="6" t="inlineStr">
        <is>
          <t xml:space="preserve">FX-S03</t>
        </is>
      </c>
      <c r="D37" s="6" t="inlineStr">
        <is>
          <t xml:space="preserve">HV-S03</t>
        </is>
      </c>
      <c r="E37" s="6" t="inlineStr">
        <is>
          <t xml:space="preserve">HV-S04</t>
        </is>
      </c>
    </row>
    <row r="38" spans="2:5" x14ac:dyDescent="0.25">
      <c r="B38" s="8" t="s">
        <v>28</v>
      </c>
      <c r="C38" s="17">
        <v>0.0975</v>
      </c>
      <c r="D38" s="17">
        <v>0.09679999999999998</v>
      </c>
      <c r="E38" s="17">
        <v>0.113</v>
      </c>
    </row>
    <row r="39" spans="2:5" x14ac:dyDescent="0.25">
      <c r="B39" s="7" t="s">
        <v>29</v>
      </c>
      <c r="C39" s="18">
        <v>0.35</v>
      </c>
      <c r="D39" s="18">
        <v>0.35</v>
      </c>
      <c r="E39" s="18">
        <v>0.35</v>
      </c>
    </row>
    <row r="40" spans="2:5" x14ac:dyDescent="0.25">
      <c r="B40" s="8" t="s">
        <v>30</v>
      </c>
      <c r="C40" s="16">
        <v>9.698442600977065</v>
      </c>
      <c r="D40" s="16">
        <v>9.697742600977065</v>
      </c>
      <c r="E40" s="16">
        <v>9.713942600977065</v>
      </c>
    </row>
    <row r="41" spans="2:5" x14ac:dyDescent="0.25">
      <c r="B41" s="7" t="s">
        <v>31</v>
      </c>
      <c r="C41" s="18">
        <v>2.0177174262806514</v>
      </c>
      <c r="D41" s="18">
        <v>2.1226677525867466</v>
      </c>
      <c r="E41" s="18">
        <v>1.0823115165186654</v>
      </c>
    </row>
    <row r="42" spans="2:5" x14ac:dyDescent="0.25">
      <c r="B42" s="2" t="s">
        <v>32</v>
      </c>
      <c r="C42" s="5">
        <v>4.806640649803296</v>
      </c>
      <c r="D42" s="5">
        <v>4.568657807685214</v>
      </c>
      <c r="E42" s="5">
        <v>8.975181777814464</v>
      </c>
    </row>
    <row r="43" spans="2:5" x14ac:dyDescent="0.25">
      <c r="B43" s="7" t="s">
        <v>33</v>
      </c>
      <c r="C43" s="18">
        <v>7.6807251746964145</v>
      </c>
      <c r="D43" s="18">
        <v>7.575074848390319</v>
      </c>
      <c r="E43" s="18">
        <v>8.6316310844584</v>
      </c>
    </row>
  </sheetData>
  <mergeCells count="10">
    <mergeCell ref="B2:E2"/>
    <mergeCell ref="B34:E34"/>
    <mergeCell ref="C7:E7"/>
    <mergeCell ref="C6:E6"/>
    <mergeCell ref="C5:E5"/>
    <mergeCell ref="B4:E4"/>
    <mergeCell ref="B21:E21"/>
    <mergeCell ref="C8:E8"/>
    <mergeCell ref="C9:E9"/>
    <mergeCell ref="B11:E11"/>
  </mergeCells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6372-4F8A-4238-BA34-69149AD2508D}">
  <sheetPr codeName="Sheet2">
    <tabColor rgb="FF024A73"/>
  </sheetPr>
  <dimension ref="B2:E43"/>
  <sheetViews>
    <sheetView showGridLines="0" zoomScale="90" zoomScaleNormal="90" workbookViewId="0">
      <pane ySplit="20" topLeftCell="A21" activePane="bottomLeft" state="frozen"/>
      <selection pane="bottomLeft" activeCell="S10" sqref="S10"/>
    </sheetView>
  </sheetViews>
  <sheetFormatPr defaultRowHeight="15" x14ac:dyDescent="0.25"/>
  <cols>
    <col min="1" max="1" width="2" customWidth="1"/>
    <col min="2" max="2" width="39" customWidth="1"/>
    <col min="3" max="5" width="18" style="4" customWidth="1"/>
    <col min="6" max="6" width="2" customWidth="1"/>
    <col min="7" max="14" width="12" customWidth="1"/>
  </cols>
  <sheetData>
    <row r="2" spans="2:5" ht="20.100000000000001" customHeight="1" x14ac:dyDescent="0.25">
      <c r="B2" s="27" t="s">
        <v>50</v>
      </c>
      <c r="C2" s="28"/>
      <c r="D2" s="28"/>
      <c r="E2" s="28"/>
    </row>
    <row r="4" spans="2:5" x14ac:dyDescent="0.25">
      <c r="B4" s="27" t="s">
        <v>0</v>
      </c>
      <c r="C4" s="28"/>
      <c r="D4" s="28"/>
      <c r="E4" s="28"/>
    </row>
    <row r="5" spans="2:5" x14ac:dyDescent="0.25">
      <c r="B5" s="1" t="s">
        <v>1</v>
      </c>
      <c r="C5" s="33" t="s">
        <v>2</v>
      </c>
      <c r="D5" s="28"/>
      <c r="E5" s="28"/>
    </row>
    <row r="6" spans="2:5" x14ac:dyDescent="0.25">
      <c r="B6" s="10" t="s">
        <v>3</v>
      </c>
      <c r="C6" s="32">
        <v>120.0</v>
      </c>
      <c r="D6" s="30"/>
      <c r="E6" s="31"/>
    </row>
    <row r="7" spans="2:5" x14ac:dyDescent="0.25">
      <c r="B7" s="9" t="s">
        <v>4</v>
      </c>
      <c r="C7" s="29">
        <v>20.0</v>
      </c>
      <c r="D7" s="30"/>
      <c r="E7" s="31"/>
    </row>
    <row r="8" spans="2:5" x14ac:dyDescent="0.25">
      <c r="B8" s="10" t="s">
        <v>5</v>
      </c>
      <c r="C8" s="34">
        <v>10.210942600977065</v>
      </c>
      <c r="D8" s="30"/>
      <c r="E8" s="31"/>
    </row>
    <row r="9" spans="2:5" x14ac:dyDescent="0.25">
      <c r="B9" s="9" t="s">
        <v>6</v>
      </c>
      <c r="C9" s="35">
        <v>0.26</v>
      </c>
      <c r="D9" s="30"/>
      <c r="E9" s="31"/>
    </row>
    <row r="11" spans="2:5" ht="20.100000000000001" customHeight="1" x14ac:dyDescent="0.25">
      <c r="B11" s="27" t="s">
        <v>7</v>
      </c>
      <c r="C11" s="28"/>
      <c r="D11" s="28"/>
      <c r="E11" s="28"/>
    </row>
    <row r="12" spans="2:5" x14ac:dyDescent="0.25">
      <c r="B12" s="1" t="s">
        <v>1</v>
      </c>
      <c r="C12" s="1" t="s">
        <v>8</v>
      </c>
      <c r="D12" s="1" t="s">
        <v>9</v>
      </c>
      <c r="E12" s="1" t="s">
        <v>10</v>
      </c>
    </row>
    <row r="13" spans="2:5" x14ac:dyDescent="0.25">
      <c r="B13" s="3" t="s">
        <v>11</v>
      </c>
      <c r="C13" s="6" t="inlineStr">
        <is>
          <t xml:space="preserve">Fluxora</t>
        </is>
      </c>
      <c r="D13" s="6" t="inlineStr">
        <is>
          <t xml:space="preserve">HidroVale</t>
        </is>
      </c>
      <c r="E13" s="6" t="inlineStr">
        <is>
          <t xml:space="preserve">HidroVale</t>
        </is>
      </c>
    </row>
    <row r="14" spans="2:5" x14ac:dyDescent="0.25">
      <c r="B14" s="2" t="s">
        <v>12</v>
      </c>
      <c r="C14" s="5" t="inlineStr">
        <is>
          <t xml:space="preserve">FX-S03</t>
        </is>
      </c>
      <c r="D14" s="5" t="inlineStr">
        <is>
          <t xml:space="preserve">HV-S03</t>
        </is>
      </c>
      <c r="E14" s="5" t="inlineStr">
        <is>
          <t xml:space="preserve">HV-S04</t>
        </is>
      </c>
    </row>
    <row r="15" spans="2:5" x14ac:dyDescent="0.25">
      <c r="B15" s="7" t="s">
        <v>13</v>
      </c>
      <c r="C15" s="11">
        <v>7.5</v>
      </c>
      <c r="D15" s="11">
        <v>7.5</v>
      </c>
      <c r="E15" s="11">
        <v>11.0</v>
      </c>
    </row>
    <row r="16" spans="2:5" x14ac:dyDescent="0.25">
      <c r="B16" s="2" t="s">
        <v>14</v>
      </c>
      <c r="C16" s="5">
        <v>4</v>
      </c>
      <c r="D16" s="5">
        <v>4</v>
      </c>
      <c r="E16" s="5">
        <v>4</v>
      </c>
    </row>
    <row r="17" spans="2:5" x14ac:dyDescent="0.25">
      <c r="B17" s="7" t="s">
        <v>15</v>
      </c>
      <c r="C17" s="12">
        <v>93.2</v>
      </c>
      <c r="D17" s="12">
        <v>93.2</v>
      </c>
      <c r="E17" s="12">
        <v>125.5</v>
      </c>
    </row>
    <row r="18" spans="2:5" x14ac:dyDescent="0.25">
      <c r="B18" s="8" t="s">
        <v>16</v>
      </c>
      <c r="C18" s="13">
        <v>380</v>
      </c>
      <c r="D18" s="13">
        <v>380</v>
      </c>
      <c r="E18" s="13">
        <v>380</v>
      </c>
    </row>
    <row r="19" spans="2:5" x14ac:dyDescent="0.25">
      <c r="B19" s="7" t="s">
        <v>17</v>
      </c>
      <c r="C19" s="14">
        <v>251.2</v>
      </c>
      <c r="D19" s="14">
        <v>250.2</v>
      </c>
      <c r="E19" s="14">
        <v>272.0</v>
      </c>
    </row>
    <row r="21" spans="2:5" ht="20.100000000000001" customHeight="1" x14ac:dyDescent="0.25">
      <c r="B21" s="27" t="s">
        <v>18</v>
      </c>
      <c r="C21" s="28"/>
      <c r="D21" s="28"/>
      <c r="E21" s="28"/>
    </row>
    <row r="22" spans="2:5" x14ac:dyDescent="0.25">
      <c r="B22" s="1" t="s">
        <v>1</v>
      </c>
      <c r="C22" s="1" t="s">
        <v>8</v>
      </c>
      <c r="D22" s="1" t="s">
        <v>9</v>
      </c>
      <c r="E22" s="1" t="s">
        <v>10</v>
      </c>
    </row>
    <row r="23" spans="2:5" x14ac:dyDescent="0.25">
      <c r="B23" s="3" t="s">
        <v>11</v>
      </c>
      <c r="C23" s="6" t="inlineStr">
        <is>
          <t xml:space="preserve">Fluxora</t>
        </is>
      </c>
      <c r="D23" s="6" t="inlineStr">
        <is>
          <t xml:space="preserve">HidroVale</t>
        </is>
      </c>
      <c r="E23" s="6" t="inlineStr">
        <is>
          <t xml:space="preserve">HidroVale</t>
        </is>
      </c>
    </row>
    <row r="24" spans="2:5" x14ac:dyDescent="0.25">
      <c r="B24" s="2" t="s">
        <v>12</v>
      </c>
      <c r="C24" s="5" t="inlineStr">
        <is>
          <t xml:space="preserve">FX-S03</t>
        </is>
      </c>
      <c r="D24" s="5" t="inlineStr">
        <is>
          <t xml:space="preserve">HV-S03</t>
        </is>
      </c>
      <c r="E24" s="5" t="inlineStr">
        <is>
          <t xml:space="preserve">HV-S04</t>
        </is>
      </c>
    </row>
    <row r="25" spans="2:5" x14ac:dyDescent="0.25">
      <c r="B25" s="7" t="s">
        <v>19</v>
      </c>
      <c r="C25" s="15">
        <v>12.0</v>
      </c>
      <c r="D25" s="15">
        <v>12.0</v>
      </c>
      <c r="E25" s="15">
        <v>12.0</v>
      </c>
    </row>
    <row r="26" spans="2:5" x14ac:dyDescent="0.25">
      <c r="B26" s="8" t="s">
        <v>20</v>
      </c>
      <c r="C26" s="16">
        <v>17.0</v>
      </c>
      <c r="D26" s="16">
        <v>17.0</v>
      </c>
      <c r="E26" s="16">
        <v>17.0</v>
      </c>
    </row>
    <row r="27" spans="2:5" x14ac:dyDescent="0.25">
      <c r="B27" s="3" t="s">
        <v>21</v>
      </c>
      <c r="C27" s="19">
        <v>0.6551898946888939</v>
      </c>
      <c r="D27" s="19">
        <v>0.635112173533998</v>
      </c>
      <c r="E27" s="19">
        <v>0.6703386192438884</v>
      </c>
    </row>
    <row r="28" spans="2:5" x14ac:dyDescent="0.25">
      <c r="B28" s="8" t="s">
        <v>22</v>
      </c>
      <c r="C28" s="20">
        <v>1485.483987408999</v>
      </c>
      <c r="D28" s="20">
        <v>1477.9886071887033</v>
      </c>
      <c r="E28" s="20">
        <v>1356.758353960396</v>
      </c>
    </row>
    <row r="29" spans="2:5" x14ac:dyDescent="0.25">
      <c r="B29" s="7" t="s">
        <v>23</v>
      </c>
      <c r="C29" s="11">
        <v>3.046682178191777</v>
      </c>
      <c r="D29" s="11">
        <v>3.1429965581869683</v>
      </c>
      <c r="E29" s="11">
        <v>2.977831379805587</v>
      </c>
    </row>
    <row r="30" spans="2:5" x14ac:dyDescent="0.25">
      <c r="B30" s="2" t="s">
        <v>24</v>
      </c>
      <c r="C30" s="21">
        <v>0.8665</v>
      </c>
      <c r="D30" s="21">
        <v>0.8615</v>
      </c>
      <c r="E30" s="21">
        <v>0.8795</v>
      </c>
    </row>
    <row r="31" spans="2:5" x14ac:dyDescent="0.25">
      <c r="B31" s="7" t="s">
        <v>25</v>
      </c>
      <c r="C31" s="11">
        <v>3.5160786822755647</v>
      </c>
      <c r="D31" s="11">
        <v>3.648283874854287</v>
      </c>
      <c r="E31" s="11">
        <v>3.3858230583349487</v>
      </c>
    </row>
    <row r="32" spans="2:5" x14ac:dyDescent="0.25">
      <c r="B32" s="2" t="s">
        <v>26</v>
      </c>
      <c r="C32" s="21">
        <v>0.5937757095744297</v>
      </c>
      <c r="D32" s="21">
        <v>0.5809337922417376</v>
      </c>
      <c r="E32" s="21">
        <v>0.7292880563813102</v>
      </c>
    </row>
    <row r="34" spans="2:5" ht="20.100000000000001" customHeight="1" x14ac:dyDescent="0.25">
      <c r="B34" s="27" t="s">
        <v>27</v>
      </c>
      <c r="C34" s="28"/>
      <c r="D34" s="28"/>
      <c r="E34" s="28"/>
    </row>
    <row r="35" spans="2:5" x14ac:dyDescent="0.25">
      <c r="B35" s="1" t="s">
        <v>1</v>
      </c>
      <c r="C35" s="1" t="s">
        <v>8</v>
      </c>
      <c r="D35" s="1" t="s">
        <v>9</v>
      </c>
      <c r="E35" s="1" t="s">
        <v>10</v>
      </c>
    </row>
    <row r="36" spans="2:5" x14ac:dyDescent="0.25">
      <c r="B36" s="2" t="s">
        <v>11</v>
      </c>
      <c r="C36" s="5" t="inlineStr">
        <is>
          <t xml:space="preserve">Fluxora</t>
        </is>
      </c>
      <c r="D36" s="5" t="inlineStr">
        <is>
          <t xml:space="preserve">HidroVale</t>
        </is>
      </c>
      <c r="E36" s="5" t="inlineStr">
        <is>
          <t xml:space="preserve">HidroVale</t>
        </is>
      </c>
    </row>
    <row r="37" spans="2:5" x14ac:dyDescent="0.25">
      <c r="B37" s="3" t="s">
        <v>12</v>
      </c>
      <c r="C37" s="6" t="inlineStr">
        <is>
          <t xml:space="preserve">FX-S03</t>
        </is>
      </c>
      <c r="D37" s="6" t="inlineStr">
        <is>
          <t xml:space="preserve">HV-S03</t>
        </is>
      </c>
      <c r="E37" s="6" t="inlineStr">
        <is>
          <t xml:space="preserve">HV-S04</t>
        </is>
      </c>
    </row>
    <row r="38" spans="2:5" x14ac:dyDescent="0.25">
      <c r="B38" s="8" t="s">
        <v>28</v>
      </c>
      <c r="C38" s="17">
        <v>0.0975</v>
      </c>
      <c r="D38" s="17">
        <v>0.09679999999999998</v>
      </c>
      <c r="E38" s="17">
        <v>0.113</v>
      </c>
    </row>
    <row r="39" spans="2:5" x14ac:dyDescent="0.25">
      <c r="B39" s="7" t="s">
        <v>29</v>
      </c>
      <c r="C39" s="18">
        <v>0.35</v>
      </c>
      <c r="D39" s="18">
        <v>0.35</v>
      </c>
      <c r="E39" s="18">
        <v>0.35</v>
      </c>
    </row>
    <row r="40" spans="2:5" x14ac:dyDescent="0.25">
      <c r="B40" s="8" t="s">
        <v>30</v>
      </c>
      <c r="C40" s="16">
        <v>9.698442600977065</v>
      </c>
      <c r="D40" s="16">
        <v>9.697742600977065</v>
      </c>
      <c r="E40" s="16">
        <v>9.713942600977065</v>
      </c>
    </row>
    <row r="41" spans="2:5" x14ac:dyDescent="0.25">
      <c r="B41" s="7" t="s">
        <v>31</v>
      </c>
      <c r="C41" s="18">
        <v>1.8721304229708022</v>
      </c>
      <c r="D41" s="18">
        <v>1.980217203266131</v>
      </c>
      <c r="E41" s="18">
        <v>0.9534761797633197</v>
      </c>
    </row>
    <row r="42" spans="2:5" x14ac:dyDescent="0.25">
      <c r="B42" s="2" t="s">
        <v>32</v>
      </c>
      <c r="C42" s="5">
        <v>5.180431065046755</v>
      </c>
      <c r="D42" s="5">
        <v>4.897312570046256</v>
      </c>
      <c r="E42" s="5">
        <v>10.187923733331592</v>
      </c>
    </row>
    <row r="43" spans="2:5" x14ac:dyDescent="0.25">
      <c r="B43" s="7" t="s">
        <v>33</v>
      </c>
      <c r="C43" s="18">
        <v>7.826312178006264</v>
      </c>
      <c r="D43" s="18">
        <v>7.717525397710935</v>
      </c>
      <c r="E43" s="18">
        <v>8.760466421213746</v>
      </c>
    </row>
  </sheetData>
  <mergeCells count="10">
    <mergeCell ref="C9:E9"/>
    <mergeCell ref="B11:E11"/>
    <mergeCell ref="B21:E21"/>
    <mergeCell ref="B34:E34"/>
    <mergeCell ref="B2:E2"/>
    <mergeCell ref="B4:E4"/>
    <mergeCell ref="C5:E5"/>
    <mergeCell ref="C6:E6"/>
    <mergeCell ref="C7:E7"/>
    <mergeCell ref="C8:E8"/>
  </mergeCells>
  <pageMargins left="0.75" right="0.75" top="1" bottom="1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F6BB-239A-490D-86F8-B68FA733A1F0}">
  <sheetPr codeName="Sheet3"/>
  <dimension ref="B2:O51"/>
  <sheetViews>
    <sheetView showGridLines="0" workbookViewId="0">
      <pane xSplit="1" ySplit="19" topLeftCell="B20" activePane="bottomRight" state="frozen"/>
      <selection pane="topRight"/>
      <selection pane="bottomLeft"/>
      <selection pane="bottomRight" activeCell="H23" sqref="H23"/>
    </sheetView>
  </sheetViews>
  <sheetFormatPr defaultRowHeight="15" x14ac:dyDescent="0.25"/>
  <cols>
    <col min="1" max="1" width="2" customWidth="1"/>
    <col min="2" max="5" width="21.7109375" style="4" customWidth="1"/>
    <col min="6" max="6" width="3" style="4" customWidth="1"/>
    <col min="7" max="10" width="21.7109375" style="4" customWidth="1"/>
    <col min="11" max="11" width="3" style="4" customWidth="1"/>
    <col min="12" max="15" width="21.7109375" style="4" customWidth="1"/>
  </cols>
  <sheetData>
    <row r="2" spans="2:15" x14ac:dyDescent="0.25">
      <c r="B2" s="27" t="s">
        <v>34</v>
      </c>
      <c r="C2" s="28"/>
      <c r="D2" s="28"/>
      <c r="E2" s="28"/>
      <c r="G2" s="27" t="s">
        <v>35</v>
      </c>
      <c r="H2" s="28"/>
      <c r="I2" s="28"/>
      <c r="J2" s="28"/>
      <c r="L2" s="27" t="s">
        <v>36</v>
      </c>
      <c r="M2" s="28"/>
      <c r="N2" s="28"/>
      <c r="O2" s="28"/>
    </row>
    <row r="3" spans="2:15" ht="16.5" customHeight="1" x14ac:dyDescent="0.25"/>
    <row r="4" spans="2:15" ht="16.5" customHeight="1" x14ac:dyDescent="0.25"/>
    <row r="5" spans="2:15" ht="16.5" customHeight="1" x14ac:dyDescent="0.25"/>
    <row r="6" spans="2:15" ht="16.5" customHeight="1" x14ac:dyDescent="0.25"/>
    <row r="7" spans="2:15" ht="16.5" customHeight="1" x14ac:dyDescent="0.25"/>
    <row r="8" spans="2:15" ht="16.5" customHeight="1" x14ac:dyDescent="0.25"/>
    <row r="9" spans="2:15" ht="16.5" customHeight="1" x14ac:dyDescent="0.25"/>
    <row r="10" spans="2:15" ht="16.5" customHeight="1" x14ac:dyDescent="0.25"/>
    <row r="11" spans="2:15" ht="16.5" customHeight="1" x14ac:dyDescent="0.25"/>
    <row r="12" spans="2:15" ht="16.5" customHeight="1" x14ac:dyDescent="0.25"/>
    <row r="13" spans="2:15" ht="16.5" customHeight="1" x14ac:dyDescent="0.25"/>
    <row r="14" spans="2:15" ht="16.5" customHeight="1" x14ac:dyDescent="0.25"/>
    <row r="15" spans="2:15" ht="16.5" customHeight="1" x14ac:dyDescent="0.25"/>
    <row r="16" spans="2:15" ht="16.5" customHeight="1" x14ac:dyDescent="0.25"/>
    <row r="17" spans="2:15" x14ac:dyDescent="0.25">
      <c r="B17" s="23" t="s">
        <v>22</v>
      </c>
      <c r="C17" s="23" t="s">
        <v>37</v>
      </c>
      <c r="D17" s="23" t="s">
        <v>38</v>
      </c>
      <c r="E17" s="1" t="s">
        <v>39</v>
      </c>
      <c r="G17" s="23" t="s">
        <v>22</v>
      </c>
      <c r="H17" s="23" t="s">
        <v>37</v>
      </c>
      <c r="I17" s="23" t="s">
        <v>38</v>
      </c>
      <c r="J17" s="1" t="s">
        <v>39</v>
      </c>
      <c r="L17" s="23" t="s">
        <v>22</v>
      </c>
      <c r="M17" s="23" t="s">
        <v>37</v>
      </c>
      <c r="N17" s="23" t="s">
        <v>38</v>
      </c>
      <c r="O17" s="1" t="s">
        <v>39</v>
      </c>
    </row>
    <row r="18" spans="2:15" x14ac:dyDescent="0.25">
      <c r="B18" s="20">
        <v>1765.0</v>
      </c>
      <c r="C18" s="25">
        <v>60.0</v>
      </c>
      <c r="D18" s="20">
        <v>1800.0</v>
      </c>
      <c r="E18" s="24">
        <v>0.019444444444444445</v>
      </c>
      <c r="G18" s="20">
        <v>1675.8132381073076</v>
      </c>
      <c r="H18" s="25">
        <v>56.91112896813953</v>
      </c>
      <c r="I18" s="20">
        <v>1707.3338690441858</v>
      </c>
      <c r="J18" s="24">
        <v>0.01846190221396144</v>
      </c>
      <c r="L18" s="20">
        <v>1485.483987408999</v>
      </c>
      <c r="M18" s="25">
        <v>50.33995152141429</v>
      </c>
      <c r="N18" s="20">
        <v>1510.1985456424288</v>
      </c>
      <c r="O18" s="24">
        <v>0.016365105306677726</v>
      </c>
    </row>
    <row r="20" spans="2:15" x14ac:dyDescent="0.25">
      <c r="B20" s="23" t="s">
        <v>40</v>
      </c>
      <c r="C20" s="23" t="s">
        <v>41</v>
      </c>
      <c r="D20" s="1" t="s">
        <v>42</v>
      </c>
      <c r="E20" s="23" t="s">
        <v>43</v>
      </c>
      <c r="G20" s="23" t="s">
        <v>40</v>
      </c>
      <c r="H20" s="23" t="s">
        <v>41</v>
      </c>
      <c r="I20" s="1" t="s">
        <v>42</v>
      </c>
      <c r="J20" s="23" t="s">
        <v>43</v>
      </c>
      <c r="L20" s="23" t="s">
        <v>40</v>
      </c>
      <c r="M20" s="23" t="s">
        <v>41</v>
      </c>
      <c r="N20" s="1" t="s">
        <v>42</v>
      </c>
      <c r="O20" s="23" t="s">
        <v>43</v>
      </c>
    </row>
    <row r="21" spans="2:15" x14ac:dyDescent="0.25">
      <c r="B21" s="15">
        <v>0.0</v>
      </c>
      <c r="C21" s="18">
        <v>36.288</v>
      </c>
      <c r="D21" s="19">
        <v>0.0</v>
      </c>
      <c r="E21" s="18">
        <v>0.35</v>
      </c>
      <c r="G21" s="15">
        <v>0.0</v>
      </c>
      <c r="H21" s="18">
        <v>32.71333695869855</v>
      </c>
      <c r="I21" s="19">
        <v>0.0</v>
      </c>
      <c r="J21" s="18">
        <v>0.3155221543084351</v>
      </c>
      <c r="L21" s="15">
        <v>0.0</v>
      </c>
      <c r="M21" s="18">
        <v>25.704523820102814</v>
      </c>
      <c r="N21" s="19">
        <v>0.0</v>
      </c>
      <c r="O21" s="18">
        <v>0.2479217189438929</v>
      </c>
    </row>
    <row r="22" spans="2:15" x14ac:dyDescent="0.25">
      <c r="B22" s="22">
        <v>0.624</v>
      </c>
      <c r="C22" s="16">
        <v>36.26448</v>
      </c>
      <c r="D22" s="21">
        <v>0.0658125</v>
      </c>
      <c r="E22" s="16">
        <v>0.39025</v>
      </c>
      <c r="G22" s="22">
        <v>0.5924688161920453</v>
      </c>
      <c r="H22" s="16">
        <v>32.69213386992902</v>
      </c>
      <c r="I22" s="21">
        <v>0.06095595883221494</v>
      </c>
      <c r="J22" s="16">
        <v>0.35180720205390514</v>
      </c>
      <c r="L22" s="22">
        <v>0.5251796080131532</v>
      </c>
      <c r="M22" s="16">
        <v>25.687863480589787</v>
      </c>
      <c r="N22" s="21">
        <v>0.049566522220504616</v>
      </c>
      <c r="O22" s="16">
        <v>0.27643271662244057</v>
      </c>
    </row>
    <row r="23" spans="2:15" x14ac:dyDescent="0.25">
      <c r="B23" s="15">
        <v>1.248</v>
      </c>
      <c r="C23" s="18">
        <v>36.19392</v>
      </c>
      <c r="D23" s="19">
        <v>0.12825</v>
      </c>
      <c r="E23" s="18">
        <v>0.436</v>
      </c>
      <c r="G23" s="15">
        <v>1.1849376323840906</v>
      </c>
      <c r="H23" s="18">
        <v>32.62852460362045</v>
      </c>
      <c r="I23" s="19">
        <v>0.12371805136761449</v>
      </c>
      <c r="J23" s="18">
        <v>0.3930504550813649</v>
      </c>
      <c r="L23" s="15">
        <v>1.0503592160263064</v>
      </c>
      <c r="M23" s="18">
        <v>25.637882462050698</v>
      </c>
      <c r="N23" s="19">
        <v>0.113089840899953</v>
      </c>
      <c r="O23" s="18">
        <v>0.30883962702724943</v>
      </c>
    </row>
    <row r="24" spans="2:15" x14ac:dyDescent="0.25">
      <c r="B24" s="22">
        <v>1.872</v>
      </c>
      <c r="C24" s="16">
        <v>36.07632</v>
      </c>
      <c r="D24" s="21">
        <v>0.1873125</v>
      </c>
      <c r="E24" s="16">
        <v>0.48725</v>
      </c>
      <c r="G24" s="22">
        <v>1.777406448576136</v>
      </c>
      <c r="H24" s="16">
        <v>32.52250915977282</v>
      </c>
      <c r="I24" s="21">
        <v>0.18308759836056</v>
      </c>
      <c r="J24" s="16">
        <v>0.4392519133908143</v>
      </c>
      <c r="L24" s="22">
        <v>1.5755388240394597</v>
      </c>
      <c r="M24" s="16">
        <v>25.55458076448555</v>
      </c>
      <c r="N24" s="21">
        <v>0.1731794666778097</v>
      </c>
      <c r="O24" s="16">
        <v>0.34514245015831946</v>
      </c>
    </row>
    <row r="25" spans="2:15" x14ac:dyDescent="0.25">
      <c r="B25" s="15">
        <v>2.496</v>
      </c>
      <c r="C25" s="18">
        <v>35.91168</v>
      </c>
      <c r="D25" s="19">
        <v>0.243</v>
      </c>
      <c r="E25" s="18">
        <v>0.544</v>
      </c>
      <c r="G25" s="15">
        <v>2.369875264768181</v>
      </c>
      <c r="H25" s="18">
        <v>32.37408753838612</v>
      </c>
      <c r="I25" s="19">
        <v>0.23906459981105155</v>
      </c>
      <c r="J25" s="18">
        <v>0.4904115769822535</v>
      </c>
      <c r="L25" s="15">
        <v>2.100718432052613</v>
      </c>
      <c r="M25" s="18">
        <v>25.43795838789434</v>
      </c>
      <c r="N25" s="19">
        <v>0.2298353995540745</v>
      </c>
      <c r="O25" s="18">
        <v>0.3853411860156507</v>
      </c>
    </row>
    <row r="26" spans="2:15" x14ac:dyDescent="0.25">
      <c r="B26" s="22">
        <v>3.12</v>
      </c>
      <c r="C26" s="16">
        <v>35.7</v>
      </c>
      <c r="D26" s="21">
        <v>0.2953125</v>
      </c>
      <c r="E26" s="16">
        <v>0.60625</v>
      </c>
      <c r="G26" s="22">
        <v>2.9623440809602264</v>
      </c>
      <c r="H26" s="16">
        <v>32.18325973946038</v>
      </c>
      <c r="I26" s="21">
        <v>0.29164905571908895</v>
      </c>
      <c r="J26" s="16">
        <v>0.5465294458556822</v>
      </c>
      <c r="L26" s="22">
        <v>2.625898040065766</v>
      </c>
      <c r="M26" s="16">
        <v>25.288015332277077</v>
      </c>
      <c r="N26" s="21">
        <v>0.2830576395287475</v>
      </c>
      <c r="O26" s="16">
        <v>0.429435834599243</v>
      </c>
    </row>
    <row r="27" spans="2:15" x14ac:dyDescent="0.25">
      <c r="B27" s="15">
        <v>3.744</v>
      </c>
      <c r="C27" s="18">
        <v>35.44128</v>
      </c>
      <c r="D27" s="19">
        <v>0.34425</v>
      </c>
      <c r="E27" s="18">
        <v>0.674</v>
      </c>
      <c r="G27" s="15">
        <v>3.554812897152272</v>
      </c>
      <c r="H27" s="18">
        <v>31.950025762995587</v>
      </c>
      <c r="I27" s="19">
        <v>0.3408409660846724</v>
      </c>
      <c r="J27" s="18">
        <v>0.6076055200111008</v>
      </c>
      <c r="L27" s="15">
        <v>3.1510776480789193</v>
      </c>
      <c r="M27" s="18">
        <v>25.10475159763375</v>
      </c>
      <c r="N27" s="19">
        <v>0.33284618660182863</v>
      </c>
      <c r="O27" s="18">
        <v>0.47742639590909663</v>
      </c>
    </row>
    <row r="28" spans="2:15" x14ac:dyDescent="0.25">
      <c r="B28" s="22">
        <v>4.368</v>
      </c>
      <c r="C28" s="16">
        <v>35.13552</v>
      </c>
      <c r="D28" s="21">
        <v>0.3898125</v>
      </c>
      <c r="E28" s="16">
        <v>0.74725</v>
      </c>
      <c r="G28" s="22">
        <v>4.147281713344317</v>
      </c>
      <c r="H28" s="16">
        <v>31.674385608991738</v>
      </c>
      <c r="I28" s="21">
        <v>0.3866403309078019</v>
      </c>
      <c r="J28" s="16">
        <v>0.6736397994485089</v>
      </c>
      <c r="L28" s="22">
        <v>3.6762572560920725</v>
      </c>
      <c r="M28" s="16">
        <v>24.888167183964367</v>
      </c>
      <c r="N28" s="21">
        <v>0.3792010407733182</v>
      </c>
      <c r="O28" s="16">
        <v>0.5293128699452113</v>
      </c>
    </row>
    <row r="29" spans="2:15" x14ac:dyDescent="0.25">
      <c r="B29" s="15">
        <v>4.992</v>
      </c>
      <c r="C29" s="18">
        <v>34.78272</v>
      </c>
      <c r="D29" s="19">
        <v>0.432</v>
      </c>
      <c r="E29" s="18">
        <v>0.826</v>
      </c>
      <c r="G29" s="15">
        <v>4.739750529536362</v>
      </c>
      <c r="H29" s="18">
        <v>31.356339277448836</v>
      </c>
      <c r="I29" s="19">
        <v>0.42904715018847717</v>
      </c>
      <c r="J29" s="18">
        <v>0.7446322841679068</v>
      </c>
      <c r="L29" s="15">
        <v>4.201436864105226</v>
      </c>
      <c r="M29" s="18">
        <v>24.63826209126892</v>
      </c>
      <c r="N29" s="19">
        <v>0.4221222020432157</v>
      </c>
      <c r="O29" s="18">
        <v>0.5850952567075872</v>
      </c>
    </row>
    <row r="30" spans="2:15" x14ac:dyDescent="0.25">
      <c r="B30" s="22">
        <v>5.616</v>
      </c>
      <c r="C30" s="16">
        <v>34.38288</v>
      </c>
      <c r="D30" s="21">
        <v>0.4708125</v>
      </c>
      <c r="E30" s="16">
        <v>0.91025</v>
      </c>
      <c r="G30" s="22">
        <v>5.332219345728407</v>
      </c>
      <c r="H30" s="16">
        <v>30.99588676836688</v>
      </c>
      <c r="I30" s="21">
        <v>0.4680614239266987</v>
      </c>
      <c r="J30" s="16">
        <v>0.8205829741692945</v>
      </c>
      <c r="L30" s="22">
        <v>4.726616472118379</v>
      </c>
      <c r="M30" s="16">
        <v>24.35503631954742</v>
      </c>
      <c r="N30" s="21">
        <v>0.46160967041152157</v>
      </c>
      <c r="O30" s="16">
        <v>0.6447735561962243</v>
      </c>
    </row>
    <row r="31" spans="2:15" x14ac:dyDescent="0.25">
      <c r="B31" s="15">
        <v>6.24</v>
      </c>
      <c r="C31" s="18">
        <v>33.936</v>
      </c>
      <c r="D31" s="19">
        <v>0.50625</v>
      </c>
      <c r="E31" s="18">
        <v>1.0</v>
      </c>
      <c r="G31" s="15">
        <v>5.924688161920453</v>
      </c>
      <c r="H31" s="18">
        <v>30.59302808174587</v>
      </c>
      <c r="I31" s="19">
        <v>0.5036831521224658</v>
      </c>
      <c r="J31" s="18">
        <v>0.9014918694526718</v>
      </c>
      <c r="L31" s="15">
        <v>5.251796080131532</v>
      </c>
      <c r="M31" s="18">
        <v>24.038489868799857</v>
      </c>
      <c r="N31" s="19">
        <v>0.4976634458782355</v>
      </c>
      <c r="O31" s="18">
        <v>0.7083477684111226</v>
      </c>
    </row>
    <row r="32" spans="2:15" x14ac:dyDescent="0.25">
      <c r="B32" s="22">
        <v>6.864</v>
      </c>
      <c r="C32" s="16">
        <v>33.44208</v>
      </c>
      <c r="D32" s="21">
        <v>0.5383125</v>
      </c>
      <c r="E32" s="16">
        <v>1.09525</v>
      </c>
      <c r="G32" s="22">
        <v>6.517156978112498</v>
      </c>
      <c r="H32" s="16">
        <v>30.147763217585805</v>
      </c>
      <c r="I32" s="21">
        <v>0.5359123347757792</v>
      </c>
      <c r="J32" s="16">
        <v>0.9873589700180389</v>
      </c>
      <c r="L32" s="22">
        <v>5.776975688144685</v>
      </c>
      <c r="M32" s="16">
        <v>23.688622739026233</v>
      </c>
      <c r="N32" s="21">
        <v>0.5302835284433577</v>
      </c>
      <c r="O32" s="16">
        <v>0.775817893352282</v>
      </c>
    </row>
    <row r="33" spans="2:15" x14ac:dyDescent="0.25">
      <c r="B33" s="15">
        <v>7.488</v>
      </c>
      <c r="C33" s="18">
        <v>32.90112</v>
      </c>
      <c r="D33" s="19">
        <v>0.567</v>
      </c>
      <c r="E33" s="18">
        <v>1.196</v>
      </c>
      <c r="G33" s="15">
        <v>7.109625794304544</v>
      </c>
      <c r="H33" s="18">
        <v>29.66009217588669</v>
      </c>
      <c r="I33" s="19">
        <v>0.5647489718866384</v>
      </c>
      <c r="J33" s="18">
        <v>1.0781842758653954</v>
      </c>
      <c r="L33" s="15">
        <v>6.302155296157839</v>
      </c>
      <c r="M33" s="18">
        <v>23.305434930226554</v>
      </c>
      <c r="N33" s="19">
        <v>0.5594699181068881</v>
      </c>
      <c r="O33" s="18">
        <v>0.8471839310197026</v>
      </c>
    </row>
    <row r="34" spans="2:15" x14ac:dyDescent="0.25">
      <c r="B34" s="22">
        <v>8.112</v>
      </c>
      <c r="C34" s="16">
        <v>32.31312</v>
      </c>
      <c r="D34" s="21">
        <v>0.5923125</v>
      </c>
      <c r="E34" s="16">
        <v>1.30225</v>
      </c>
      <c r="G34" s="22">
        <v>7.702094610496589</v>
      </c>
      <c r="H34" s="16">
        <v>29.130014956648516</v>
      </c>
      <c r="I34" s="21">
        <v>0.5901930634550436</v>
      </c>
      <c r="J34" s="16">
        <v>1.1739677869947418</v>
      </c>
      <c r="L34" s="22">
        <v>6.827334904170992</v>
      </c>
      <c r="M34" s="16">
        <v>22.888926442400813</v>
      </c>
      <c r="N34" s="21">
        <v>0.5852226148688267</v>
      </c>
      <c r="O34" s="16">
        <v>0.9224458814133843</v>
      </c>
    </row>
    <row r="35" spans="2:15" x14ac:dyDescent="0.25">
      <c r="B35" s="15">
        <v>8.736</v>
      </c>
      <c r="C35" s="18">
        <v>31.67808</v>
      </c>
      <c r="D35" s="19">
        <v>0.61425</v>
      </c>
      <c r="E35" s="18">
        <v>1.414</v>
      </c>
      <c r="G35" s="15">
        <v>8.294563426688635</v>
      </c>
      <c r="H35" s="18">
        <v>28.557531559871293</v>
      </c>
      <c r="I35" s="19">
        <v>0.6122446094809948</v>
      </c>
      <c r="J35" s="18">
        <v>1.2747095034060778</v>
      </c>
      <c r="L35" s="15">
        <v>7.352514512184145</v>
      </c>
      <c r="M35" s="18">
        <v>22.439097275549013</v>
      </c>
      <c r="N35" s="19">
        <v>0.6075416187291733</v>
      </c>
      <c r="O35" s="18">
        <v>1.0016037445333272</v>
      </c>
    </row>
    <row r="36" spans="2:15" x14ac:dyDescent="0.25">
      <c r="B36" s="22">
        <v>9.36</v>
      </c>
      <c r="C36" s="16">
        <v>30.996</v>
      </c>
      <c r="D36" s="21">
        <v>0.6328125</v>
      </c>
      <c r="E36" s="16">
        <v>1.53125</v>
      </c>
      <c r="G36" s="22">
        <v>8.887032242880679</v>
      </c>
      <c r="H36" s="16">
        <v>27.942641985555014</v>
      </c>
      <c r="I36" s="21">
        <v>0.630903609964492</v>
      </c>
      <c r="J36" s="16">
        <v>1.3804094250994037</v>
      </c>
      <c r="L36" s="22">
        <v>7.877694120197297</v>
      </c>
      <c r="M36" s="16">
        <v>21.955947429671156</v>
      </c>
      <c r="N36" s="21">
        <v>0.6264269296879283</v>
      </c>
      <c r="O36" s="16">
        <v>1.0846575203795314</v>
      </c>
    </row>
    <row r="37" spans="2:15" x14ac:dyDescent="0.25">
      <c r="B37" s="15">
        <v>9.984</v>
      </c>
      <c r="C37" s="18">
        <v>30.26688</v>
      </c>
      <c r="D37" s="19">
        <v>0.648</v>
      </c>
      <c r="E37" s="18">
        <v>1.654</v>
      </c>
      <c r="G37" s="15">
        <v>9.479501059072724</v>
      </c>
      <c r="H37" s="18">
        <v>27.285346233699684</v>
      </c>
      <c r="I37" s="19">
        <v>0.6461700649055352</v>
      </c>
      <c r="J37" s="18">
        <v>1.491067552074719</v>
      </c>
      <c r="L37" s="15">
        <v>8.402873728210452</v>
      </c>
      <c r="M37" s="18">
        <v>21.439476904767236</v>
      </c>
      <c r="N37" s="19">
        <v>0.6418785477450915</v>
      </c>
      <c r="O37" s="18">
        <v>1.1716072089519967</v>
      </c>
    </row>
    <row r="38" spans="2:15" x14ac:dyDescent="0.25">
      <c r="B38" s="22">
        <v>10.608</v>
      </c>
      <c r="C38" s="16">
        <v>29.49072</v>
      </c>
      <c r="D38" s="21">
        <v>0.6598125</v>
      </c>
      <c r="E38" s="16">
        <v>1.78225</v>
      </c>
      <c r="G38" s="22">
        <v>10.07196987526477</v>
      </c>
      <c r="H38" s="16">
        <v>26.585644304305298</v>
      </c>
      <c r="I38" s="21">
        <v>0.6580439743041243</v>
      </c>
      <c r="J38" s="16">
        <v>1.6066838843320241</v>
      </c>
      <c r="L38" s="22">
        <v>8.928053336223606</v>
      </c>
      <c r="M38" s="16">
        <v>20.889685700837262</v>
      </c>
      <c r="N38" s="21">
        <v>0.6538964729006628</v>
      </c>
      <c r="O38" s="16">
        <v>1.262452810250723</v>
      </c>
    </row>
    <row r="39" spans="2:15" x14ac:dyDescent="0.25">
      <c r="B39" s="15">
        <v>11.232</v>
      </c>
      <c r="C39" s="18">
        <v>28.66752</v>
      </c>
      <c r="D39" s="19">
        <v>0.66825</v>
      </c>
      <c r="E39" s="18">
        <v>1.916</v>
      </c>
      <c r="G39" s="15">
        <v>10.664438691456814</v>
      </c>
      <c r="H39" s="18">
        <v>25.843536197371858</v>
      </c>
      <c r="I39" s="19">
        <v>0.6665253381602594</v>
      </c>
      <c r="J39" s="18">
        <v>1.7272584218713192</v>
      </c>
      <c r="L39" s="15">
        <v>9.453232944236758</v>
      </c>
      <c r="M39" s="18">
        <v>20.306573817881223</v>
      </c>
      <c r="N39" s="19">
        <v>0.6624807051546423</v>
      </c>
      <c r="O39" s="18">
        <v>1.3571943242757107</v>
      </c>
    </row>
    <row r="40" spans="2:15" x14ac:dyDescent="0.25">
      <c r="B40" s="22">
        <v>11.856</v>
      </c>
      <c r="C40" s="16">
        <v>27.79728</v>
      </c>
      <c r="D40" s="21">
        <v>0.6733125</v>
      </c>
      <c r="E40" s="16">
        <v>2.05525</v>
      </c>
      <c r="G40" s="22">
        <v>11.25690750764886</v>
      </c>
      <c r="H40" s="16">
        <v>25.059021912899365</v>
      </c>
      <c r="I40" s="21">
        <v>0.6716141564739404</v>
      </c>
      <c r="J40" s="16">
        <v>1.8527911646926036</v>
      </c>
      <c r="L40" s="22">
        <v>9.97841255224991</v>
      </c>
      <c r="M40" s="16">
        <v>19.69014125589913</v>
      </c>
      <c r="N40" s="21">
        <v>0.66763124450703</v>
      </c>
      <c r="O40" s="16">
        <v>1.4558317510269596</v>
      </c>
    </row>
    <row r="41" spans="2:15" x14ac:dyDescent="0.25">
      <c r="B41" s="15">
        <v>12.48</v>
      </c>
      <c r="C41" s="18">
        <v>26.88</v>
      </c>
      <c r="D41" s="19">
        <v>0.675</v>
      </c>
      <c r="E41" s="18">
        <v>2.2</v>
      </c>
      <c r="G41" s="15">
        <v>11.849376323840906</v>
      </c>
      <c r="H41" s="18">
        <v>24.232101450887818</v>
      </c>
      <c r="I41" s="19">
        <v>0.6733104292451675</v>
      </c>
      <c r="J41" s="18">
        <v>1.9832821127958782</v>
      </c>
      <c r="L41" s="15">
        <v>10.503592160263064</v>
      </c>
      <c r="M41" s="18">
        <v>19.040388014890976</v>
      </c>
      <c r="N41" s="19">
        <v>0.669348090957826</v>
      </c>
      <c r="O41" s="18">
        <v>1.5583650905044697</v>
      </c>
    </row>
    <row r="42" spans="2:15" x14ac:dyDescent="0.25">
      <c r="B42" s="22">
        <v>13.104</v>
      </c>
      <c r="C42" s="16">
        <v>25.91568</v>
      </c>
      <c r="D42" s="21">
        <v>0.6733125</v>
      </c>
      <c r="E42" s="16">
        <v>2.35025</v>
      </c>
      <c r="G42" s="22">
        <v>12.44184514003295</v>
      </c>
      <c r="H42" s="16">
        <v>23.362774811337214</v>
      </c>
      <c r="I42" s="21">
        <v>0.6716141564739404</v>
      </c>
      <c r="J42" s="16">
        <v>2.118731266181142</v>
      </c>
      <c r="L42" s="22">
        <v>11.028771768276217</v>
      </c>
      <c r="M42" s="16">
        <v>18.35731409485676</v>
      </c>
      <c r="N42" s="21">
        <v>0.66763124450703</v>
      </c>
      <c r="O42" s="16">
        <v>1.6647943427082408</v>
      </c>
    </row>
    <row r="43" spans="2:15" x14ac:dyDescent="0.25">
      <c r="B43" s="15">
        <v>13.728</v>
      </c>
      <c r="C43" s="18">
        <v>24.90432</v>
      </c>
      <c r="D43" s="19">
        <v>0.66825</v>
      </c>
      <c r="E43" s="18">
        <v>2.506</v>
      </c>
      <c r="G43" s="15">
        <v>13.034313956224995</v>
      </c>
      <c r="H43" s="18">
        <v>22.45104199424756</v>
      </c>
      <c r="I43" s="19">
        <v>0.6665253381602594</v>
      </c>
      <c r="J43" s="18">
        <v>2.2591386248483953</v>
      </c>
      <c r="L43" s="15">
        <v>11.55395137628937</v>
      </c>
      <c r="M43" s="18">
        <v>17.64091949579649</v>
      </c>
      <c r="N43" s="19">
        <v>0.6624807051546423</v>
      </c>
      <c r="O43" s="18">
        <v>1.775119507638273</v>
      </c>
    </row>
    <row r="44" spans="2:15" x14ac:dyDescent="0.25">
      <c r="B44" s="22">
        <v>14.352</v>
      </c>
      <c r="C44" s="16">
        <v>23.84592</v>
      </c>
      <c r="D44" s="21">
        <v>0.6598125</v>
      </c>
      <c r="E44" s="16">
        <v>2.66725</v>
      </c>
      <c r="G44" s="22">
        <v>13.626782772417043</v>
      </c>
      <c r="H44" s="16">
        <v>21.496902999618854</v>
      </c>
      <c r="I44" s="21">
        <v>0.6580439743041243</v>
      </c>
      <c r="J44" s="16">
        <v>2.404504188797639</v>
      </c>
      <c r="L44" s="22">
        <v>12.079130984302523</v>
      </c>
      <c r="M44" s="16">
        <v>16.891204217710154</v>
      </c>
      <c r="N44" s="21">
        <v>0.6538964729006628</v>
      </c>
      <c r="O44" s="16">
        <v>1.8893405852945668</v>
      </c>
    </row>
    <row r="45" spans="2:15" x14ac:dyDescent="0.25">
      <c r="B45" s="15">
        <v>14.976</v>
      </c>
      <c r="C45" s="18">
        <v>22.74048</v>
      </c>
      <c r="D45" s="19">
        <v>0.648</v>
      </c>
      <c r="E45" s="18">
        <v>2.834</v>
      </c>
      <c r="G45" s="15">
        <v>14.219251588609088</v>
      </c>
      <c r="H45" s="18">
        <v>20.500357827451094</v>
      </c>
      <c r="I45" s="19">
        <v>0.6461700649055352</v>
      </c>
      <c r="J45" s="18">
        <v>2.5548279580288717</v>
      </c>
      <c r="L45" s="15">
        <v>12.604310592315677</v>
      </c>
      <c r="M45" s="18">
        <v>16.108168260597765</v>
      </c>
      <c r="N45" s="19">
        <v>0.6418785477450915</v>
      </c>
      <c r="O45" s="18">
        <v>2.0074575756771216</v>
      </c>
    </row>
    <row r="46" spans="2:15" x14ac:dyDescent="0.25">
      <c r="B46" s="22">
        <v>15.6</v>
      </c>
      <c r="C46" s="16">
        <v>21.588</v>
      </c>
      <c r="D46" s="21">
        <v>0.6328125</v>
      </c>
      <c r="E46" s="16">
        <v>3.00625</v>
      </c>
      <c r="G46" s="22">
        <v>14.811720404801132</v>
      </c>
      <c r="H46" s="16">
        <v>19.46140647774428</v>
      </c>
      <c r="I46" s="21">
        <v>0.630903609964492</v>
      </c>
      <c r="J46" s="16">
        <v>2.7101099325420948</v>
      </c>
      <c r="L46" s="22">
        <v>13.12949020032883</v>
      </c>
      <c r="M46" s="16">
        <v>15.291811624459315</v>
      </c>
      <c r="N46" s="21">
        <v>0.6264269296879283</v>
      </c>
      <c r="O46" s="16">
        <v>2.129470478785937</v>
      </c>
    </row>
    <row r="47" spans="2:15" x14ac:dyDescent="0.25">
      <c r="B47" s="15">
        <v>16.224</v>
      </c>
      <c r="C47" s="18">
        <v>20.38848</v>
      </c>
      <c r="D47" s="19">
        <v>0.61425</v>
      </c>
      <c r="E47" s="18">
        <v>3.184</v>
      </c>
      <c r="G47" s="15">
        <v>15.404189220993178</v>
      </c>
      <c r="H47" s="18">
        <v>18.38004895049841</v>
      </c>
      <c r="I47" s="19">
        <v>0.6122446094809948</v>
      </c>
      <c r="J47" s="18">
        <v>2.870350112337307</v>
      </c>
      <c r="L47" s="15">
        <v>13.654669808341984</v>
      </c>
      <c r="M47" s="18">
        <v>14.442134309294806</v>
      </c>
      <c r="N47" s="19">
        <v>0.6075416187291733</v>
      </c>
      <c r="O47" s="18">
        <v>2.2553792946210143</v>
      </c>
    </row>
    <row r="48" spans="2:15" x14ac:dyDescent="0.25">
      <c r="B48" s="22">
        <v>16.848</v>
      </c>
      <c r="C48" s="16">
        <v>19.14192</v>
      </c>
      <c r="D48" s="21">
        <v>0.5923125</v>
      </c>
      <c r="E48" s="16">
        <v>3.36725</v>
      </c>
      <c r="G48" s="22">
        <v>15.996658037185222</v>
      </c>
      <c r="H48" s="16">
        <v>17.256285245713485</v>
      </c>
      <c r="I48" s="21">
        <v>0.5901930634550436</v>
      </c>
      <c r="J48" s="16">
        <v>3.035548497414509</v>
      </c>
      <c r="L48" s="22">
        <v>14.179849416355136</v>
      </c>
      <c r="M48" s="16">
        <v>13.559136315104235</v>
      </c>
      <c r="N48" s="21">
        <v>0.5852226148688267</v>
      </c>
      <c r="O48" s="16">
        <v>2.3851840231823522</v>
      </c>
    </row>
    <row r="49" spans="2:15" x14ac:dyDescent="0.25">
      <c r="B49" s="15">
        <v>17.472</v>
      </c>
      <c r="C49" s="18">
        <v>17.84832</v>
      </c>
      <c r="D49" s="19">
        <v>0.567</v>
      </c>
      <c r="E49" s="18">
        <v>3.556</v>
      </c>
      <c r="G49" s="15">
        <v>16.58912685337727</v>
      </c>
      <c r="H49" s="18">
        <v>16.09011536338951</v>
      </c>
      <c r="I49" s="19">
        <v>0.5647489718866384</v>
      </c>
      <c r="J49" s="18">
        <v>3.205705087773701</v>
      </c>
      <c r="L49" s="15">
        <v>14.70502902436829</v>
      </c>
      <c r="M49" s="18">
        <v>12.642817641887609</v>
      </c>
      <c r="N49" s="19">
        <v>0.5594699181068881</v>
      </c>
      <c r="O49" s="18">
        <v>2.518884664469952</v>
      </c>
    </row>
    <row r="50" spans="2:15" x14ac:dyDescent="0.25">
      <c r="B50" s="22">
        <v>18.096</v>
      </c>
      <c r="C50" s="16">
        <v>16.50768</v>
      </c>
      <c r="D50" s="21">
        <v>0.5383125</v>
      </c>
      <c r="E50" s="16">
        <v>3.75025</v>
      </c>
      <c r="G50" s="22">
        <v>17.18159566956931</v>
      </c>
      <c r="H50" s="16">
        <v>14.881539303526482</v>
      </c>
      <c r="I50" s="21">
        <v>0.5359123347757792</v>
      </c>
      <c r="J50" s="16">
        <v>3.3808198834148824</v>
      </c>
      <c r="L50" s="22">
        <v>15.230208632381443</v>
      </c>
      <c r="M50" s="16">
        <v>11.693178289644921</v>
      </c>
      <c r="N50" s="21">
        <v>0.5302835284433577</v>
      </c>
      <c r="O50" s="16">
        <v>2.6564812184838122</v>
      </c>
    </row>
    <row r="51" spans="2:15" x14ac:dyDescent="0.25">
      <c r="B51" s="15">
        <v>18.72</v>
      </c>
      <c r="C51" s="18">
        <v>15.12</v>
      </c>
      <c r="D51" s="19">
        <v>0.50625</v>
      </c>
      <c r="E51" s="18">
        <v>3.95</v>
      </c>
      <c r="G51" s="15">
        <v>17.774064485761357</v>
      </c>
      <c r="H51" s="18">
        <v>13.630557066124396</v>
      </c>
      <c r="I51" s="19">
        <v>0.5036831521224658</v>
      </c>
      <c r="J51" s="18">
        <v>3.560892884338054</v>
      </c>
      <c r="L51" s="15">
        <v>15.755388240394595</v>
      </c>
      <c r="M51" s="18">
        <v>10.710218258376173</v>
      </c>
      <c r="N51" s="19">
        <v>0.4976634458782355</v>
      </c>
      <c r="O51" s="18">
        <v>2.7979736852239343</v>
      </c>
    </row>
  </sheetData>
  <mergeCells count="3">
    <mergeCell ref="B2:E2"/>
    <mergeCell ref="G2:J2"/>
    <mergeCell ref="L2:O2"/>
  </mergeCells>
  <pageMargins left="0.75" right="0.75" top="1" bottom="1" header="0.5" footer="0.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81AD-E60F-472E-A581-79EDBB63B85C}">
  <sheetPr codeName="Sheet4"/>
  <dimension ref="B2:O51"/>
  <sheetViews>
    <sheetView showGridLines="0" workbookViewId="0">
      <pane xSplit="1" ySplit="19" topLeftCell="B20" activePane="bottomRight" state="frozen"/>
      <selection pane="topRight"/>
      <selection pane="bottomLeft"/>
      <selection pane="bottomRight" activeCell="G31" sqref="G31"/>
    </sheetView>
  </sheetViews>
  <sheetFormatPr defaultRowHeight="15" x14ac:dyDescent="0.25"/>
  <cols>
    <col min="1" max="1" width="2" customWidth="1"/>
    <col min="2" max="5" width="21.7109375" style="4" customWidth="1"/>
    <col min="6" max="6" width="3" style="4" customWidth="1"/>
    <col min="7" max="10" width="21.7109375" style="4" customWidth="1"/>
    <col min="11" max="11" width="3" style="4" customWidth="1"/>
    <col min="12" max="15" width="21.7109375" style="4" customWidth="1"/>
  </cols>
  <sheetData>
    <row r="2" spans="2:15" x14ac:dyDescent="0.25">
      <c r="B2" s="27" t="s">
        <v>34</v>
      </c>
      <c r="C2" s="28"/>
      <c r="D2" s="28"/>
      <c r="E2" s="28"/>
      <c r="G2" s="27" t="s">
        <v>35</v>
      </c>
      <c r="H2" s="28"/>
      <c r="I2" s="28"/>
      <c r="J2" s="28"/>
      <c r="L2" s="27" t="s">
        <v>36</v>
      </c>
      <c r="M2" s="28"/>
      <c r="N2" s="28"/>
      <c r="O2" s="28"/>
    </row>
    <row r="3" spans="2:15" ht="16.5" customHeight="1" x14ac:dyDescent="0.25"/>
    <row r="4" spans="2:15" ht="16.5" customHeight="1" x14ac:dyDescent="0.25"/>
    <row r="5" spans="2:15" ht="16.5" customHeight="1" x14ac:dyDescent="0.25"/>
    <row r="6" spans="2:15" ht="16.5" customHeight="1" x14ac:dyDescent="0.25"/>
    <row r="7" spans="2:15" ht="16.5" customHeight="1" x14ac:dyDescent="0.25"/>
    <row r="8" spans="2:15" ht="16.5" customHeight="1" x14ac:dyDescent="0.25"/>
    <row r="9" spans="2:15" ht="16.5" customHeight="1" x14ac:dyDescent="0.25"/>
    <row r="10" spans="2:15" ht="16.5" customHeight="1" x14ac:dyDescent="0.25"/>
    <row r="11" spans="2:15" ht="16.5" customHeight="1" x14ac:dyDescent="0.25"/>
    <row r="12" spans="2:15" ht="16.5" customHeight="1" x14ac:dyDescent="0.25"/>
    <row r="13" spans="2:15" ht="16.5" customHeight="1" x14ac:dyDescent="0.25"/>
    <row r="14" spans="2:15" ht="16.5" customHeight="1" x14ac:dyDescent="0.25"/>
    <row r="15" spans="2:15" ht="16.5" customHeight="1" x14ac:dyDescent="0.25"/>
    <row r="16" spans="2:15" ht="16.5" customHeight="1" x14ac:dyDescent="0.25"/>
    <row r="17" spans="2:15" x14ac:dyDescent="0.25">
      <c r="B17" s="23" t="s">
        <v>22</v>
      </c>
      <c r="C17" s="23" t="s">
        <v>37</v>
      </c>
      <c r="D17" s="23" t="s">
        <v>38</v>
      </c>
      <c r="E17" s="1" t="s">
        <v>39</v>
      </c>
      <c r="G17" s="23" t="s">
        <v>22</v>
      </c>
      <c r="H17" s="23" t="s">
        <v>37</v>
      </c>
      <c r="I17" s="23" t="s">
        <v>38</v>
      </c>
      <c r="J17" s="1" t="s">
        <v>39</v>
      </c>
      <c r="L17" s="23" t="s">
        <v>22</v>
      </c>
      <c r="M17" s="23" t="s">
        <v>37</v>
      </c>
      <c r="N17" s="23" t="s">
        <v>38</v>
      </c>
      <c r="O17" s="1" t="s">
        <v>39</v>
      </c>
    </row>
    <row r="18" spans="2:15" x14ac:dyDescent="0.25">
      <c r="B18" s="20">
        <v>1755.0</v>
      </c>
      <c r="C18" s="25">
        <v>60.0</v>
      </c>
      <c r="D18" s="20">
        <v>1800.0</v>
      </c>
      <c r="E18" s="24">
        <v>0.025</v>
      </c>
      <c r="G18" s="20">
        <v>1659.780189747394</v>
      </c>
      <c r="H18" s="25">
        <v>56.66578914921907</v>
      </c>
      <c r="I18" s="20">
        <v>1699.9736744765721</v>
      </c>
      <c r="J18" s="24">
        <v>0.023643592446544147</v>
      </c>
      <c r="L18" s="20">
        <v>1477.9886071887033</v>
      </c>
      <c r="M18" s="25">
        <v>50.32584568942555</v>
      </c>
      <c r="N18" s="20">
        <v>1509.7753706827664</v>
      </c>
      <c r="O18" s="24">
        <v>0.021053968763371806</v>
      </c>
    </row>
    <row r="20" spans="2:15" x14ac:dyDescent="0.25">
      <c r="B20" s="23" t="s">
        <v>40</v>
      </c>
      <c r="C20" s="23" t="s">
        <v>41</v>
      </c>
      <c r="D20" s="1" t="s">
        <v>42</v>
      </c>
      <c r="E20" s="23" t="s">
        <v>43</v>
      </c>
      <c r="G20" s="23" t="s">
        <v>40</v>
      </c>
      <c r="H20" s="23" t="s">
        <v>41</v>
      </c>
      <c r="I20" s="1" t="s">
        <v>42</v>
      </c>
      <c r="J20" s="23" t="s">
        <v>43</v>
      </c>
      <c r="L20" s="23" t="s">
        <v>40</v>
      </c>
      <c r="M20" s="23" t="s">
        <v>41</v>
      </c>
      <c r="N20" s="1" t="s">
        <v>42</v>
      </c>
      <c r="O20" s="23" t="s">
        <v>43</v>
      </c>
    </row>
    <row r="21" spans="2:15" x14ac:dyDescent="0.25">
      <c r="B21" s="15">
        <v>0.0</v>
      </c>
      <c r="C21" s="18">
        <v>37.8</v>
      </c>
      <c r="D21" s="19">
        <v>0.0</v>
      </c>
      <c r="E21" s="18">
        <v>0.35</v>
      </c>
      <c r="G21" s="15">
        <v>0.0</v>
      </c>
      <c r="H21" s="18">
        <v>33.809497169310134</v>
      </c>
      <c r="I21" s="19">
        <v>0.0</v>
      </c>
      <c r="J21" s="18">
        <v>0.3130508997158346</v>
      </c>
      <c r="L21" s="15">
        <v>0.0</v>
      </c>
      <c r="M21" s="18">
        <v>26.80894544967297</v>
      </c>
      <c r="N21" s="19">
        <v>0.0</v>
      </c>
      <c r="O21" s="18">
        <v>0.24823097638586084</v>
      </c>
    </row>
    <row r="22" spans="2:15" x14ac:dyDescent="0.25">
      <c r="B22" s="22">
        <v>0.6</v>
      </c>
      <c r="C22" s="16">
        <v>37.7755</v>
      </c>
      <c r="D22" s="21">
        <v>0.0648375</v>
      </c>
      <c r="E22" s="16">
        <v>0.39025</v>
      </c>
      <c r="G22" s="22">
        <v>0.5674462187170578</v>
      </c>
      <c r="H22" s="16">
        <v>33.78758360633003</v>
      </c>
      <c r="I22" s="21">
        <v>0.05960624214148391</v>
      </c>
      <c r="J22" s="16">
        <v>0.34905175318315557</v>
      </c>
      <c r="L22" s="22">
        <v>0.5052952503209241</v>
      </c>
      <c r="M22" s="16">
        <v>26.791569281325962</v>
      </c>
      <c r="N22" s="21">
        <v>0.0486338680484929</v>
      </c>
      <c r="O22" s="16">
        <v>0.2767775386702348</v>
      </c>
    </row>
    <row r="23" spans="2:15" x14ac:dyDescent="0.25">
      <c r="B23" s="15">
        <v>1.2</v>
      </c>
      <c r="C23" s="18">
        <v>37.702</v>
      </c>
      <c r="D23" s="19">
        <v>0.12635</v>
      </c>
      <c r="E23" s="18">
        <v>0.436</v>
      </c>
      <c r="G23" s="15">
        <v>1.1348924374341156</v>
      </c>
      <c r="H23" s="18">
        <v>33.7218429173897</v>
      </c>
      <c r="I23" s="19">
        <v>0.12146284035866206</v>
      </c>
      <c r="J23" s="18">
        <v>0.3899719779317254</v>
      </c>
      <c r="L23" s="15">
        <v>1.0105905006418483</v>
      </c>
      <c r="M23" s="18">
        <v>26.73944077628493</v>
      </c>
      <c r="N23" s="19">
        <v>0.11121219982683839</v>
      </c>
      <c r="O23" s="18">
        <v>0.30922487344067234</v>
      </c>
    </row>
    <row r="24" spans="2:15" x14ac:dyDescent="0.25">
      <c r="B24" s="22">
        <v>1.8</v>
      </c>
      <c r="C24" s="16">
        <v>37.5795</v>
      </c>
      <c r="D24" s="21">
        <v>0.1845375</v>
      </c>
      <c r="E24" s="16">
        <v>0.48725</v>
      </c>
      <c r="G24" s="22">
        <v>1.7023386561511735</v>
      </c>
      <c r="H24" s="16">
        <v>33.612275102489164</v>
      </c>
      <c r="I24" s="21">
        <v>0.17997583867220912</v>
      </c>
      <c r="J24" s="16">
        <v>0.4358115739615441</v>
      </c>
      <c r="L24" s="22">
        <v>1.5158857509627726</v>
      </c>
      <c r="M24" s="16">
        <v>26.65255993454988</v>
      </c>
      <c r="N24" s="21">
        <v>0.17040791907662478</v>
      </c>
      <c r="O24" s="16">
        <v>0.3455729806971734</v>
      </c>
    </row>
    <row r="25" spans="2:15" x14ac:dyDescent="0.25">
      <c r="B25" s="15">
        <v>2.4</v>
      </c>
      <c r="C25" s="18">
        <v>37.408</v>
      </c>
      <c r="D25" s="19">
        <v>0.2394</v>
      </c>
      <c r="E25" s="18">
        <v>0.544</v>
      </c>
      <c r="G25" s="15">
        <v>2.269784874868231</v>
      </c>
      <c r="H25" s="18">
        <v>33.45888016162841</v>
      </c>
      <c r="I25" s="19">
        <v>0.23514523708212498</v>
      </c>
      <c r="J25" s="18">
        <v>0.48657054127261157</v>
      </c>
      <c r="L25" s="15">
        <v>2.0211810012836966</v>
      </c>
      <c r="M25" s="18">
        <v>26.530926756120806</v>
      </c>
      <c r="N25" s="19">
        <v>0.22622102579785197</v>
      </c>
      <c r="O25" s="18">
        <v>0.38582186043973804</v>
      </c>
    </row>
    <row r="26" spans="2:15" x14ac:dyDescent="0.25">
      <c r="B26" s="22">
        <v>3.0</v>
      </c>
      <c r="C26" s="16">
        <v>37.1875</v>
      </c>
      <c r="D26" s="21">
        <v>0.2909375</v>
      </c>
      <c r="E26" s="16">
        <v>0.60625</v>
      </c>
      <c r="G26" s="22">
        <v>2.837231093585289</v>
      </c>
      <c r="H26" s="16">
        <v>33.26165809480743</v>
      </c>
      <c r="I26" s="21">
        <v>0.2869710355884094</v>
      </c>
      <c r="J26" s="16">
        <v>0.5422488798649278</v>
      </c>
      <c r="L26" s="22">
        <v>2.526476251604621</v>
      </c>
      <c r="M26" s="16">
        <v>26.374541240997715</v>
      </c>
      <c r="N26" s="21">
        <v>0.27865151999051985</v>
      </c>
      <c r="O26" s="16">
        <v>0.4299715126683661</v>
      </c>
    </row>
    <row r="27" spans="2:15" x14ac:dyDescent="0.25">
      <c r="B27" s="15">
        <v>3.6</v>
      </c>
      <c r="C27" s="18">
        <v>36.918</v>
      </c>
      <c r="D27" s="19">
        <v>0.33915</v>
      </c>
      <c r="E27" s="18">
        <v>0.674</v>
      </c>
      <c r="G27" s="15">
        <v>3.404677312302347</v>
      </c>
      <c r="H27" s="18">
        <v>33.02060890202623</v>
      </c>
      <c r="I27" s="19">
        <v>0.33545323419106265</v>
      </c>
      <c r="J27" s="18">
        <v>0.602846589738493</v>
      </c>
      <c r="L27" s="15">
        <v>3.031771501925545</v>
      </c>
      <c r="M27" s="18">
        <v>26.1834033891806</v>
      </c>
      <c r="N27" s="19">
        <v>0.3276994016546285</v>
      </c>
      <c r="O27" s="18">
        <v>0.47802193738305776</v>
      </c>
    </row>
    <row r="28" spans="2:15" x14ac:dyDescent="0.25">
      <c r="B28" s="22">
        <v>4.2</v>
      </c>
      <c r="C28" s="16">
        <v>36.5995</v>
      </c>
      <c r="D28" s="21">
        <v>0.3840375</v>
      </c>
      <c r="E28" s="16">
        <v>0.74725</v>
      </c>
      <c r="G28" s="22">
        <v>3.9721235310194047</v>
      </c>
      <c r="H28" s="16">
        <v>32.73573258328482</v>
      </c>
      <c r="I28" s="21">
        <v>0.3805918328900847</v>
      </c>
      <c r="J28" s="16">
        <v>0.6683636708933068</v>
      </c>
      <c r="L28" s="22">
        <v>3.5370667522464694</v>
      </c>
      <c r="M28" s="16">
        <v>25.957513200669467</v>
      </c>
      <c r="N28" s="21">
        <v>0.373364670790178</v>
      </c>
      <c r="O28" s="16">
        <v>0.5299731345838129</v>
      </c>
    </row>
    <row r="29" spans="2:15" x14ac:dyDescent="0.25">
      <c r="B29" s="15">
        <v>4.8</v>
      </c>
      <c r="C29" s="18">
        <v>36.232</v>
      </c>
      <c r="D29" s="19">
        <v>0.4256</v>
      </c>
      <c r="E29" s="18">
        <v>0.826</v>
      </c>
      <c r="G29" s="15">
        <v>4.539569749736462</v>
      </c>
      <c r="H29" s="18">
        <v>32.4070291385832</v>
      </c>
      <c r="I29" s="19">
        <v>0.4223868316854753</v>
      </c>
      <c r="J29" s="18">
        <v>0.7388001233293696</v>
      </c>
      <c r="L29" s="15">
        <v>4.042362002567393</v>
      </c>
      <c r="M29" s="18">
        <v>25.696870675464314</v>
      </c>
      <c r="N29" s="19">
        <v>0.41564732739716814</v>
      </c>
      <c r="O29" s="18">
        <v>0.5858251042706315</v>
      </c>
    </row>
    <row r="30" spans="2:15" x14ac:dyDescent="0.25">
      <c r="B30" s="22">
        <v>5.4</v>
      </c>
      <c r="C30" s="16">
        <v>35.8155</v>
      </c>
      <c r="D30" s="21">
        <v>0.4638375</v>
      </c>
      <c r="E30" s="16">
        <v>0.91025</v>
      </c>
      <c r="G30" s="22">
        <v>5.107015968453521</v>
      </c>
      <c r="H30" s="16">
        <v>32.034498567921354</v>
      </c>
      <c r="I30" s="21">
        <v>0.46083823057723483</v>
      </c>
      <c r="J30" s="16">
        <v>0.8141559470466814</v>
      </c>
      <c r="L30" s="22">
        <v>4.547657252888318</v>
      </c>
      <c r="M30" s="16">
        <v>25.40147581356514</v>
      </c>
      <c r="N30" s="21">
        <v>0.4545473714755992</v>
      </c>
      <c r="O30" s="16">
        <v>0.6455778464435138</v>
      </c>
    </row>
    <row r="31" spans="2:15" x14ac:dyDescent="0.25">
      <c r="B31" s="15">
        <v>6.0</v>
      </c>
      <c r="C31" s="18">
        <v>35.35</v>
      </c>
      <c r="D31" s="19">
        <v>0.49875</v>
      </c>
      <c r="E31" s="18">
        <v>1.0</v>
      </c>
      <c r="G31" s="15">
        <v>5.674462187170578</v>
      </c>
      <c r="H31" s="18">
        <v>31.618140871299296</v>
      </c>
      <c r="I31" s="19">
        <v>0.49594602956536304</v>
      </c>
      <c r="J31" s="18">
        <v>0.8944311420452418</v>
      </c>
      <c r="L31" s="15">
        <v>5.052952503209242</v>
      </c>
      <c r="M31" s="18">
        <v>25.071328614971947</v>
      </c>
      <c r="N31" s="19">
        <v>0.49006480302547106</v>
      </c>
      <c r="O31" s="18">
        <v>0.7092313611024595</v>
      </c>
    </row>
    <row r="32" spans="2:15" x14ac:dyDescent="0.25">
      <c r="B32" s="22">
        <v>6.6</v>
      </c>
      <c r="C32" s="16">
        <v>34.8355</v>
      </c>
      <c r="D32" s="21">
        <v>0.5303375</v>
      </c>
      <c r="E32" s="16">
        <v>1.09525</v>
      </c>
      <c r="G32" s="22">
        <v>6.241908405887636</v>
      </c>
      <c r="H32" s="16">
        <v>31.157956048717022</v>
      </c>
      <c r="I32" s="21">
        <v>0.5277102286498601</v>
      </c>
      <c r="J32" s="16">
        <v>0.9796257083250511</v>
      </c>
      <c r="L32" s="22">
        <v>5.558247753530166</v>
      </c>
      <c r="M32" s="16">
        <v>24.70642907968473</v>
      </c>
      <c r="N32" s="21">
        <v>0.5221996220467837</v>
      </c>
      <c r="O32" s="16">
        <v>0.7767856482474689</v>
      </c>
    </row>
    <row r="33" spans="2:15" x14ac:dyDescent="0.25">
      <c r="B33" s="15">
        <v>7.2</v>
      </c>
      <c r="C33" s="18">
        <v>34.272</v>
      </c>
      <c r="D33" s="19">
        <v>0.5586</v>
      </c>
      <c r="E33" s="18">
        <v>1.196</v>
      </c>
      <c r="G33" s="15">
        <v>6.809354624604694</v>
      </c>
      <c r="H33" s="18">
        <v>30.653944100174524</v>
      </c>
      <c r="I33" s="19">
        <v>0.5561308278307256</v>
      </c>
      <c r="J33" s="18">
        <v>1.069739645886109</v>
      </c>
      <c r="L33" s="15">
        <v>6.06354300385109</v>
      </c>
      <c r="M33" s="18">
        <v>24.306777207703494</v>
      </c>
      <c r="N33" s="19">
        <v>0.550951828539537</v>
      </c>
      <c r="O33" s="18">
        <v>0.8482407078785416</v>
      </c>
    </row>
    <row r="34" spans="2:15" x14ac:dyDescent="0.25">
      <c r="B34" s="22">
        <v>7.8</v>
      </c>
      <c r="C34" s="16">
        <v>33.6595</v>
      </c>
      <c r="D34" s="21">
        <v>0.5835375</v>
      </c>
      <c r="E34" s="16">
        <v>1.30225</v>
      </c>
      <c r="G34" s="22">
        <v>7.376800843321751</v>
      </c>
      <c r="H34" s="16">
        <v>30.106105025671816</v>
      </c>
      <c r="I34" s="21">
        <v>0.5812078271079602</v>
      </c>
      <c r="J34" s="16">
        <v>1.164772954728416</v>
      </c>
      <c r="L34" s="22">
        <v>6.5688382541720145</v>
      </c>
      <c r="M34" s="16">
        <v>23.872372999028237</v>
      </c>
      <c r="N34" s="21">
        <v>0.5763214225037312</v>
      </c>
      <c r="O34" s="16">
        <v>0.9235965399956779</v>
      </c>
    </row>
    <row r="35" spans="2:15" x14ac:dyDescent="0.25">
      <c r="B35" s="15">
        <v>8.4</v>
      </c>
      <c r="C35" s="18">
        <v>32.998</v>
      </c>
      <c r="D35" s="19">
        <v>0.60515</v>
      </c>
      <c r="E35" s="18">
        <v>1.414</v>
      </c>
      <c r="G35" s="15">
        <v>7.9442470620388095</v>
      </c>
      <c r="H35" s="18">
        <v>29.514438825208885</v>
      </c>
      <c r="I35" s="19">
        <v>0.6029412264815632</v>
      </c>
      <c r="J35" s="18">
        <v>1.2647256348519718</v>
      </c>
      <c r="L35" s="15">
        <v>7.074133504492939</v>
      </c>
      <c r="M35" s="18">
        <v>23.40321645365896</v>
      </c>
      <c r="N35" s="19">
        <v>0.598308403939366</v>
      </c>
      <c r="O35" s="18">
        <v>1.0028531445988778</v>
      </c>
    </row>
    <row r="36" spans="2:15" x14ac:dyDescent="0.25">
      <c r="B36" s="22">
        <v>9.0</v>
      </c>
      <c r="C36" s="16">
        <v>32.2875</v>
      </c>
      <c r="D36" s="21">
        <v>0.6234375</v>
      </c>
      <c r="E36" s="16">
        <v>1.53125</v>
      </c>
      <c r="G36" s="22">
        <v>8.511693280755868</v>
      </c>
      <c r="H36" s="16">
        <v>28.878945498785743</v>
      </c>
      <c r="I36" s="21">
        <v>0.6213310259515352</v>
      </c>
      <c r="J36" s="16">
        <v>1.3695976862567765</v>
      </c>
      <c r="L36" s="22">
        <v>7.579428754813863</v>
      </c>
      <c r="M36" s="16">
        <v>22.899307571595664</v>
      </c>
      <c r="N36" s="21">
        <v>0.6169127728464417</v>
      </c>
      <c r="O36" s="16">
        <v>1.0860105216881413</v>
      </c>
    </row>
    <row r="37" spans="2:15" x14ac:dyDescent="0.25">
      <c r="B37" s="15">
        <v>9.6</v>
      </c>
      <c r="C37" s="18">
        <v>31.528</v>
      </c>
      <c r="D37" s="19">
        <v>0.6384</v>
      </c>
      <c r="E37" s="18">
        <v>1.654</v>
      </c>
      <c r="G37" s="15">
        <v>9.079139499472925</v>
      </c>
      <c r="H37" s="18">
        <v>28.19962504640238</v>
      </c>
      <c r="I37" s="19">
        <v>0.6363772255178758</v>
      </c>
      <c r="J37" s="18">
        <v>1.4793891089428297</v>
      </c>
      <c r="L37" s="15">
        <v>8.084724005134786</v>
      </c>
      <c r="M37" s="18">
        <v>22.360646352838344</v>
      </c>
      <c r="N37" s="19">
        <v>0.6321345292249583</v>
      </c>
      <c r="O37" s="18">
        <v>1.173068671263468</v>
      </c>
    </row>
    <row r="38" spans="2:15" x14ac:dyDescent="0.25">
      <c r="B38" s="22">
        <v>10.2</v>
      </c>
      <c r="C38" s="16">
        <v>30.7195</v>
      </c>
      <c r="D38" s="21">
        <v>0.6500375</v>
      </c>
      <c r="E38" s="16">
        <v>1.78225</v>
      </c>
      <c r="G38" s="22">
        <v>9.646585718189982</v>
      </c>
      <c r="H38" s="16">
        <v>27.476477468058803</v>
      </c>
      <c r="I38" s="21">
        <v>0.6480798251805853</v>
      </c>
      <c r="J38" s="16">
        <v>1.5940999029101321</v>
      </c>
      <c r="L38" s="22">
        <v>8.590019255455712</v>
      </c>
      <c r="M38" s="16">
        <v>21.787232797387006</v>
      </c>
      <c r="N38" s="21">
        <v>0.6439736730749156</v>
      </c>
      <c r="O38" s="16">
        <v>1.2640275933248584</v>
      </c>
    </row>
    <row r="39" spans="2:15" x14ac:dyDescent="0.25">
      <c r="B39" s="15">
        <v>10.8</v>
      </c>
      <c r="C39" s="18">
        <v>29.862</v>
      </c>
      <c r="D39" s="19">
        <v>0.65835</v>
      </c>
      <c r="E39" s="18">
        <v>1.916</v>
      </c>
      <c r="G39" s="15">
        <v>10.214031936907041</v>
      </c>
      <c r="H39" s="18">
        <v>26.709502763755008</v>
      </c>
      <c r="I39" s="19">
        <v>0.6564388249396633</v>
      </c>
      <c r="J39" s="18">
        <v>1.7137300681586831</v>
      </c>
      <c r="L39" s="15">
        <v>9.095314505776637</v>
      </c>
      <c r="M39" s="18">
        <v>21.179066905241644</v>
      </c>
      <c r="N39" s="19">
        <v>0.6524302043963135</v>
      </c>
      <c r="O39" s="18">
        <v>1.3588872878723124</v>
      </c>
    </row>
    <row r="40" spans="2:15" x14ac:dyDescent="0.25">
      <c r="B40" s="22">
        <v>11.4</v>
      </c>
      <c r="C40" s="16">
        <v>28.9555</v>
      </c>
      <c r="D40" s="21">
        <v>0.6633375</v>
      </c>
      <c r="E40" s="16">
        <v>2.05525</v>
      </c>
      <c r="G40" s="22">
        <v>10.781478155624098</v>
      </c>
      <c r="H40" s="16">
        <v>25.898700933491</v>
      </c>
      <c r="I40" s="21">
        <v>0.6614542247951103</v>
      </c>
      <c r="J40" s="16">
        <v>1.838279604688483</v>
      </c>
      <c r="L40" s="22">
        <v>9.60060975609756</v>
      </c>
      <c r="M40" s="16">
        <v>20.536148676402266</v>
      </c>
      <c r="N40" s="21">
        <v>0.6575041231891524</v>
      </c>
      <c r="O40" s="16">
        <v>1.45764775490583</v>
      </c>
    </row>
    <row r="41" spans="2:15" x14ac:dyDescent="0.25">
      <c r="B41" s="15">
        <v>12.0</v>
      </c>
      <c r="C41" s="18">
        <v>28.0</v>
      </c>
      <c r="D41" s="19">
        <v>0.665</v>
      </c>
      <c r="E41" s="18">
        <v>2.2</v>
      </c>
      <c r="G41" s="15">
        <v>11.348924374341156</v>
      </c>
      <c r="H41" s="18">
        <v>25.044071977266768</v>
      </c>
      <c r="I41" s="19">
        <v>0.663126024746926</v>
      </c>
      <c r="J41" s="18">
        <v>1.967748512499532</v>
      </c>
      <c r="L41" s="15">
        <v>10.105905006418483</v>
      </c>
      <c r="M41" s="18">
        <v>19.858478110868866</v>
      </c>
      <c r="N41" s="19">
        <v>0.6591954294534321</v>
      </c>
      <c r="O41" s="18">
        <v>1.5603089944254112</v>
      </c>
    </row>
    <row r="42" spans="2:15" x14ac:dyDescent="0.25">
      <c r="B42" s="22">
        <v>12.6</v>
      </c>
      <c r="C42" s="16">
        <v>26.9955</v>
      </c>
      <c r="D42" s="21">
        <v>0.6633375</v>
      </c>
      <c r="E42" s="16">
        <v>2.35025</v>
      </c>
      <c r="G42" s="22">
        <v>11.916370593058215</v>
      </c>
      <c r="H42" s="16">
        <v>24.145615895082322</v>
      </c>
      <c r="I42" s="21">
        <v>0.6614542247951103</v>
      </c>
      <c r="J42" s="16">
        <v>2.102136791591829</v>
      </c>
      <c r="L42" s="22">
        <v>10.611200256739409</v>
      </c>
      <c r="M42" s="16">
        <v>19.146055208641446</v>
      </c>
      <c r="N42" s="21">
        <v>0.6575041231891524</v>
      </c>
      <c r="O42" s="16">
        <v>1.6668710064310555</v>
      </c>
    </row>
    <row r="43" spans="2:15" x14ac:dyDescent="0.25">
      <c r="B43" s="15">
        <v>13.2</v>
      </c>
      <c r="C43" s="18">
        <v>25.942</v>
      </c>
      <c r="D43" s="19">
        <v>0.65835</v>
      </c>
      <c r="E43" s="18">
        <v>2.506</v>
      </c>
      <c r="G43" s="15">
        <v>12.483816811775272</v>
      </c>
      <c r="H43" s="18">
        <v>23.203332686937664</v>
      </c>
      <c r="I43" s="19">
        <v>0.6564388249396633</v>
      </c>
      <c r="J43" s="18">
        <v>2.241444441965376</v>
      </c>
      <c r="L43" s="15">
        <v>11.116495507060332</v>
      </c>
      <c r="M43" s="18">
        <v>18.398879969720006</v>
      </c>
      <c r="N43" s="19">
        <v>0.6524302043963135</v>
      </c>
      <c r="O43" s="18">
        <v>1.7773337909227636</v>
      </c>
    </row>
    <row r="44" spans="2:15" x14ac:dyDescent="0.25">
      <c r="B44" s="22">
        <v>13.8</v>
      </c>
      <c r="C44" s="16">
        <v>24.8395</v>
      </c>
      <c r="D44" s="21">
        <v>0.6500375</v>
      </c>
      <c r="E44" s="16">
        <v>2.66725</v>
      </c>
      <c r="G44" s="22">
        <v>13.051263030492331</v>
      </c>
      <c r="H44" s="16">
        <v>22.217222352832785</v>
      </c>
      <c r="I44" s="21">
        <v>0.6480798251805853</v>
      </c>
      <c r="J44" s="16">
        <v>2.385671463620171</v>
      </c>
      <c r="L44" s="22">
        <v>11.621790757381257</v>
      </c>
      <c r="M44" s="16">
        <v>17.616952394104544</v>
      </c>
      <c r="N44" s="21">
        <v>0.6439736730749156</v>
      </c>
      <c r="O44" s="16">
        <v>1.8916973479005352</v>
      </c>
    </row>
    <row r="45" spans="2:15" x14ac:dyDescent="0.25">
      <c r="B45" s="15">
        <v>14.4</v>
      </c>
      <c r="C45" s="18">
        <v>23.688</v>
      </c>
      <c r="D45" s="19">
        <v>0.6384</v>
      </c>
      <c r="E45" s="18">
        <v>2.834</v>
      </c>
      <c r="G45" s="15">
        <v>13.618709249209388</v>
      </c>
      <c r="H45" s="18">
        <v>21.187284892767686</v>
      </c>
      <c r="I45" s="19">
        <v>0.6363772255178758</v>
      </c>
      <c r="J45" s="18">
        <v>2.534817856556215</v>
      </c>
      <c r="L45" s="15">
        <v>12.12708600770218</v>
      </c>
      <c r="M45" s="18">
        <v>16.800272481795062</v>
      </c>
      <c r="N45" s="19">
        <v>0.6321345292249583</v>
      </c>
      <c r="O45" s="18">
        <v>2.0099616773643705</v>
      </c>
    </row>
    <row r="46" spans="2:15" x14ac:dyDescent="0.25">
      <c r="B46" s="22">
        <v>15.0</v>
      </c>
      <c r="C46" s="16">
        <v>22.4875</v>
      </c>
      <c r="D46" s="21">
        <v>0.6234375</v>
      </c>
      <c r="E46" s="16">
        <v>3.00625</v>
      </c>
      <c r="G46" s="22">
        <v>14.186155467926445</v>
      </c>
      <c r="H46" s="16">
        <v>20.113520306742373</v>
      </c>
      <c r="I46" s="21">
        <v>0.6213310259515352</v>
      </c>
      <c r="J46" s="16">
        <v>2.6888836207735083</v>
      </c>
      <c r="L46" s="22">
        <v>12.632381258023106</v>
      </c>
      <c r="M46" s="16">
        <v>15.948840232791559</v>
      </c>
      <c r="N46" s="21">
        <v>0.6169127728464417</v>
      </c>
      <c r="O46" s="16">
        <v>2.132126779314269</v>
      </c>
    </row>
    <row r="47" spans="2:15" x14ac:dyDescent="0.25">
      <c r="B47" s="15">
        <v>15.6</v>
      </c>
      <c r="C47" s="18">
        <v>21.238</v>
      </c>
      <c r="D47" s="19">
        <v>0.60515</v>
      </c>
      <c r="E47" s="18">
        <v>3.184</v>
      </c>
      <c r="G47" s="15">
        <v>14.753601686643503</v>
      </c>
      <c r="H47" s="18">
        <v>18.995928594756844</v>
      </c>
      <c r="I47" s="19">
        <v>0.6029412264815632</v>
      </c>
      <c r="J47" s="18">
        <v>2.84786875627205</v>
      </c>
      <c r="L47" s="15">
        <v>13.137676508344029</v>
      </c>
      <c r="M47" s="18">
        <v>15.062655647094035</v>
      </c>
      <c r="N47" s="19">
        <v>0.598308403939366</v>
      </c>
      <c r="O47" s="18">
        <v>2.2581926537502315</v>
      </c>
    </row>
    <row r="48" spans="2:15" x14ac:dyDescent="0.25">
      <c r="B48" s="22">
        <v>16.2</v>
      </c>
      <c r="C48" s="16">
        <v>19.9395</v>
      </c>
      <c r="D48" s="21">
        <v>0.5835375</v>
      </c>
      <c r="E48" s="16">
        <v>3.36725</v>
      </c>
      <c r="G48" s="22">
        <v>15.32104790536056</v>
      </c>
      <c r="H48" s="16">
        <v>17.834509756811098</v>
      </c>
      <c r="I48" s="21">
        <v>0.5812078271079602</v>
      </c>
      <c r="J48" s="16">
        <v>3.01177326305184</v>
      </c>
      <c r="L48" s="22">
        <v>13.642971758664952</v>
      </c>
      <c r="M48" s="16">
        <v>14.141718724702491</v>
      </c>
      <c r="N48" s="21">
        <v>0.5763214225037312</v>
      </c>
      <c r="O48" s="16">
        <v>2.388159300672257</v>
      </c>
    </row>
    <row r="49" spans="2:15" x14ac:dyDescent="0.25">
      <c r="B49" s="15">
        <v>16.8</v>
      </c>
      <c r="C49" s="18">
        <v>18.592</v>
      </c>
      <c r="D49" s="19">
        <v>0.5586</v>
      </c>
      <c r="E49" s="18">
        <v>3.556</v>
      </c>
      <c r="G49" s="15">
        <v>15.888494124077619</v>
      </c>
      <c r="H49" s="18">
        <v>16.629263792905135</v>
      </c>
      <c r="I49" s="19">
        <v>0.5561308278307256</v>
      </c>
      <c r="J49" s="18">
        <v>3.1805971411128797</v>
      </c>
      <c r="L49" s="15">
        <v>14.148267008985878</v>
      </c>
      <c r="M49" s="18">
        <v>13.186029465616928</v>
      </c>
      <c r="N49" s="19">
        <v>0.550951828539537</v>
      </c>
      <c r="O49" s="18">
        <v>2.5220267200803463</v>
      </c>
    </row>
    <row r="50" spans="2:15" x14ac:dyDescent="0.25">
      <c r="B50" s="22">
        <v>17.4</v>
      </c>
      <c r="C50" s="16">
        <v>17.1955</v>
      </c>
      <c r="D50" s="21">
        <v>0.5303375</v>
      </c>
      <c r="E50" s="16">
        <v>3.75025</v>
      </c>
      <c r="G50" s="22">
        <v>16.455940342794676</v>
      </c>
      <c r="H50" s="16">
        <v>15.380190703038954</v>
      </c>
      <c r="I50" s="21">
        <v>0.5277102286498601</v>
      </c>
      <c r="J50" s="16">
        <v>3.354340390455168</v>
      </c>
      <c r="L50" s="22">
        <v>14.653562259306801</v>
      </c>
      <c r="M50" s="16">
        <v>12.195587869837343</v>
      </c>
      <c r="N50" s="21">
        <v>0.5221996220467837</v>
      </c>
      <c r="O50" s="16">
        <v>2.659794911974499</v>
      </c>
    </row>
    <row r="51" spans="2:15" x14ac:dyDescent="0.25">
      <c r="B51" s="15">
        <v>18.0</v>
      </c>
      <c r="C51" s="18">
        <v>15.75</v>
      </c>
      <c r="D51" s="19">
        <v>0.49875</v>
      </c>
      <c r="E51" s="18">
        <v>3.95</v>
      </c>
      <c r="G51" s="15">
        <v>17.023386561511735</v>
      </c>
      <c r="H51" s="18">
        <v>14.087290487212558</v>
      </c>
      <c r="I51" s="19">
        <v>0.49594602956536304</v>
      </c>
      <c r="J51" s="18">
        <v>3.533003011078705</v>
      </c>
      <c r="L51" s="15">
        <v>15.158857509627726</v>
      </c>
      <c r="M51" s="18">
        <v>11.170393937363738</v>
      </c>
      <c r="N51" s="19">
        <v>0.49006480302547106</v>
      </c>
      <c r="O51" s="18">
        <v>2.8014638763547155</v>
      </c>
    </row>
  </sheetData>
  <mergeCells count="3">
    <mergeCell ref="B2:E2"/>
    <mergeCell ref="G2:J2"/>
    <mergeCell ref="L2:O2"/>
  </mergeCells>
  <pageMargins left="0.75" right="0.75" top="1" bottom="1" header="0.5" footer="0.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O51"/>
  <sheetViews>
    <sheetView showGridLines="0" workbookViewId="0">
      <pane xSplit="1" ySplit="19" topLeftCell="B20" activePane="bottomRight" state="frozen"/>
      <selection pane="topRight"/>
      <selection pane="bottomLeft"/>
      <selection pane="bottomRight" activeCell="J18" sqref="J18"/>
    </sheetView>
  </sheetViews>
  <sheetFormatPr defaultRowHeight="15" x14ac:dyDescent="0.25"/>
  <cols>
    <col min="1" max="1" width="2" customWidth="1"/>
    <col min="2" max="5" width="21.7109375" style="4" customWidth="1"/>
    <col min="6" max="6" width="3" style="4" customWidth="1"/>
    <col min="7" max="10" width="21.7109375" style="4" customWidth="1"/>
    <col min="11" max="11" width="3" style="4" customWidth="1"/>
    <col min="12" max="15" width="21.7109375" style="4" customWidth="1"/>
  </cols>
  <sheetData>
    <row r="2" spans="2:15" x14ac:dyDescent="0.25">
      <c r="B2" s="27" t="s">
        <v>34</v>
      </c>
      <c r="C2" s="28"/>
      <c r="D2" s="28"/>
      <c r="E2" s="28"/>
      <c r="G2" s="27" t="s">
        <v>35</v>
      </c>
      <c r="H2" s="28"/>
      <c r="I2" s="28"/>
      <c r="J2" s="28"/>
      <c r="L2" s="27" t="s">
        <v>36</v>
      </c>
      <c r="M2" s="28"/>
      <c r="N2" s="28"/>
      <c r="O2" s="28"/>
    </row>
    <row r="3" spans="2:15" ht="16.5" customHeight="1" x14ac:dyDescent="0.25"/>
    <row r="4" spans="2:15" ht="16.5" customHeight="1" x14ac:dyDescent="0.25"/>
    <row r="5" spans="2:15" ht="16.5" customHeight="1" x14ac:dyDescent="0.25"/>
    <row r="6" spans="2:15" ht="16.5" customHeight="1" x14ac:dyDescent="0.25"/>
    <row r="7" spans="2:15" ht="16.5" customHeight="1" x14ac:dyDescent="0.25"/>
    <row r="8" spans="2:15" ht="16.5" customHeight="1" x14ac:dyDescent="0.25"/>
    <row r="9" spans="2:15" ht="16.5" customHeight="1" x14ac:dyDescent="0.25"/>
    <row r="10" spans="2:15" ht="16.5" customHeight="1" x14ac:dyDescent="0.25"/>
    <row r="11" spans="2:15" ht="16.5" customHeight="1" x14ac:dyDescent="0.25"/>
    <row r="12" spans="2:15" ht="16.5" customHeight="1" x14ac:dyDescent="0.25"/>
    <row r="13" spans="2:15" ht="16.5" customHeight="1" x14ac:dyDescent="0.25"/>
    <row r="14" spans="2:15" ht="16.5" customHeight="1" x14ac:dyDescent="0.25"/>
    <row r="15" spans="2:15" ht="16.5" customHeight="1" x14ac:dyDescent="0.25"/>
    <row r="16" spans="2:15" ht="16.5" customHeight="1" x14ac:dyDescent="0.25"/>
    <row r="17" spans="2:15" x14ac:dyDescent="0.25">
      <c r="B17" s="23" t="s">
        <v>22</v>
      </c>
      <c r="C17" s="23" t="s">
        <v>37</v>
      </c>
      <c r="D17" s="23" t="s">
        <v>38</v>
      </c>
      <c r="E17" s="1" t="s">
        <v>39</v>
      </c>
      <c r="G17" s="23" t="s">
        <v>22</v>
      </c>
      <c r="H17" s="23" t="s">
        <v>37</v>
      </c>
      <c r="I17" s="23" t="s">
        <v>38</v>
      </c>
      <c r="J17" s="1" t="s">
        <v>39</v>
      </c>
      <c r="L17" s="23" t="s">
        <v>22</v>
      </c>
      <c r="M17" s="23" t="s">
        <v>37</v>
      </c>
      <c r="N17" s="23" t="s">
        <v>38</v>
      </c>
      <c r="O17" s="1" t="s">
        <v>39</v>
      </c>
    </row>
    <row r="18" spans="2:15" x14ac:dyDescent="0.25">
      <c r="B18" s="20">
        <v>1755.0</v>
      </c>
      <c r="C18" s="25">
        <v>60.0</v>
      </c>
      <c r="D18" s="20">
        <v>1800.0</v>
      </c>
      <c r="E18" s="24">
        <v>0.025</v>
      </c>
      <c r="G18" s="20">
        <v>1575.1005478865047</v>
      </c>
      <c r="H18" s="25">
        <v>53.708425243323376</v>
      </c>
      <c r="I18" s="20">
        <v>1611.2527572997012</v>
      </c>
      <c r="J18" s="24">
        <v>0.022437329741972937</v>
      </c>
      <c r="L18" s="20">
        <v>1356.758353960396</v>
      </c>
      <c r="M18" s="25">
        <v>46.116575459807194</v>
      </c>
      <c r="N18" s="20">
        <v>1383.4972637942158</v>
      </c>
      <c r="O18" s="24">
        <v>0.0193270420792078</v>
      </c>
    </row>
    <row r="20" spans="2:15" x14ac:dyDescent="0.25">
      <c r="B20" s="23" t="s">
        <v>40</v>
      </c>
      <c r="C20" s="23" t="s">
        <v>41</v>
      </c>
      <c r="D20" s="1" t="s">
        <v>42</v>
      </c>
      <c r="E20" s="23" t="s">
        <v>43</v>
      </c>
      <c r="G20" s="23" t="s">
        <v>40</v>
      </c>
      <c r="H20" s="23" t="s">
        <v>41</v>
      </c>
      <c r="I20" s="1" t="s">
        <v>42</v>
      </c>
      <c r="J20" s="23" t="s">
        <v>43</v>
      </c>
      <c r="L20" s="23" t="s">
        <v>40</v>
      </c>
      <c r="M20" s="23" t="s">
        <v>41</v>
      </c>
      <c r="N20" s="1" t="s">
        <v>42</v>
      </c>
      <c r="O20" s="23" t="s">
        <v>43</v>
      </c>
    </row>
    <row r="21" spans="2:15" x14ac:dyDescent="0.25">
      <c r="B21" s="15">
        <v>0.0</v>
      </c>
      <c r="C21" s="18">
        <v>33.75</v>
      </c>
      <c r="D21" s="19">
        <v>0.0</v>
      </c>
      <c r="E21" s="18">
        <v>0.35</v>
      </c>
      <c r="G21" s="15">
        <v>0.0</v>
      </c>
      <c r="H21" s="18">
        <v>27.185423361301414</v>
      </c>
      <c r="I21" s="19">
        <v>0.0</v>
      </c>
      <c r="J21" s="18">
        <v>0.28192290893201466</v>
      </c>
      <c r="L21" s="15">
        <v>0.0</v>
      </c>
      <c r="M21" s="18">
        <v>20.170865998699576</v>
      </c>
      <c r="N21" s="19">
        <v>0.0</v>
      </c>
      <c r="O21" s="18">
        <v>0.20917935109762523</v>
      </c>
    </row>
    <row r="22" spans="2:15" x14ac:dyDescent="0.25">
      <c r="B22" s="22">
        <v>1.0</v>
      </c>
      <c r="C22" s="16">
        <v>33.728125</v>
      </c>
      <c r="D22" s="21">
        <v>0.0697125</v>
      </c>
      <c r="E22" s="16">
        <v>0.39025</v>
      </c>
      <c r="G22" s="22">
        <v>0.89749318967892</v>
      </c>
      <c r="H22" s="16">
        <v>27.167803179493163</v>
      </c>
      <c r="I22" s="21">
        <v>0.05959686266287478</v>
      </c>
      <c r="J22" s="16">
        <v>0.31434404345919637</v>
      </c>
      <c r="L22" s="22">
        <v>0.7730816831683168</v>
      </c>
      <c r="M22" s="16">
        <v>20.157792289255973</v>
      </c>
      <c r="N22" s="21">
        <v>0.045458868222716275</v>
      </c>
      <c r="O22" s="16">
        <v>0.2332349764738521</v>
      </c>
    </row>
    <row r="23" spans="2:15" x14ac:dyDescent="0.25">
      <c r="B23" s="15">
        <v>2.0</v>
      </c>
      <c r="C23" s="18">
        <v>33.6625</v>
      </c>
      <c r="D23" s="19">
        <v>0.13585</v>
      </c>
      <c r="E23" s="18">
        <v>0.436</v>
      </c>
      <c r="G23" s="15">
        <v>1.79498637935784</v>
      </c>
      <c r="H23" s="18">
        <v>27.114942634068413</v>
      </c>
      <c r="I23" s="19">
        <v>0.12645351987436493</v>
      </c>
      <c r="J23" s="18">
        <v>0.35119539512673825</v>
      </c>
      <c r="L23" s="15">
        <v>1.5461633663366336</v>
      </c>
      <c r="M23" s="18">
        <v>20.11857116092517</v>
      </c>
      <c r="N23" s="19">
        <v>0.11332064654707319</v>
      </c>
      <c r="O23" s="18">
        <v>0.260577705938756</v>
      </c>
    </row>
    <row r="24" spans="2:15" x14ac:dyDescent="0.25">
      <c r="B24" s="22">
        <v>3.0</v>
      </c>
      <c r="C24" s="16">
        <v>33.553125</v>
      </c>
      <c r="D24" s="21">
        <v>0.1984125</v>
      </c>
      <c r="E24" s="16">
        <v>0.48725</v>
      </c>
      <c r="G24" s="22">
        <v>2.69247956903676</v>
      </c>
      <c r="H24" s="16">
        <v>27.026841725027158</v>
      </c>
      <c r="I24" s="21">
        <v>0.18969630372307178</v>
      </c>
      <c r="J24" s="16">
        <v>0.39247696393464043</v>
      </c>
      <c r="L24" s="22">
        <v>2.3192450495049504</v>
      </c>
      <c r="M24" s="16">
        <v>20.05320261370716</v>
      </c>
      <c r="N24" s="21">
        <v>0.17751422063768096</v>
      </c>
      <c r="O24" s="16">
        <v>0.29120753949233685</v>
      </c>
    </row>
    <row r="25" spans="2:15" x14ac:dyDescent="0.25">
      <c r="B25" s="15">
        <v>4.0</v>
      </c>
      <c r="C25" s="18">
        <v>33.4</v>
      </c>
      <c r="D25" s="19">
        <v>0.2574</v>
      </c>
      <c r="E25" s="18">
        <v>0.544</v>
      </c>
      <c r="G25" s="15">
        <v>3.58997275871568</v>
      </c>
      <c r="H25" s="18">
        <v>26.9035004523694</v>
      </c>
      <c r="I25" s="19">
        <v>0.24932521420899556</v>
      </c>
      <c r="J25" s="18">
        <v>0.43818874988290285</v>
      </c>
      <c r="L25" s="15">
        <v>3.0923267326732673</v>
      </c>
      <c r="M25" s="18">
        <v>19.96168664760195</v>
      </c>
      <c r="N25" s="19">
        <v>0.23803959049453982</v>
      </c>
      <c r="O25" s="18">
        <v>0.32512447713459464</v>
      </c>
    </row>
    <row r="26" spans="2:15" x14ac:dyDescent="0.25">
      <c r="B26" s="22">
        <v>5.0</v>
      </c>
      <c r="C26" s="16">
        <v>33.203125</v>
      </c>
      <c r="D26" s="21">
        <v>0.3128125</v>
      </c>
      <c r="E26" s="16">
        <v>0.60625</v>
      </c>
      <c r="G26" s="22">
        <v>4.4874659483946004</v>
      </c>
      <c r="H26" s="16">
        <v>26.74491881609514</v>
      </c>
      <c r="I26" s="21">
        <v>0.3053402513321357</v>
      </c>
      <c r="J26" s="16">
        <v>0.48833075297152534</v>
      </c>
      <c r="L26" s="22">
        <v>3.8654084158415842</v>
      </c>
      <c r="M26" s="16">
        <v>19.844023262609536</v>
      </c>
      <c r="N26" s="21">
        <v>0.29489675611764943</v>
      </c>
      <c r="O26" s="16">
        <v>0.36232851886552936</v>
      </c>
    </row>
    <row r="27" spans="2:15" x14ac:dyDescent="0.25">
      <c r="B27" s="15">
        <v>6.0</v>
      </c>
      <c r="C27" s="18">
        <v>32.9625</v>
      </c>
      <c r="D27" s="19">
        <v>0.36465</v>
      </c>
      <c r="E27" s="18">
        <v>0.674</v>
      </c>
      <c r="G27" s="15">
        <v>5.38495913807352</v>
      </c>
      <c r="H27" s="18">
        <v>26.55109681620438</v>
      </c>
      <c r="I27" s="19">
        <v>0.3577414150924928</v>
      </c>
      <c r="J27" s="18">
        <v>0.5429029732005083</v>
      </c>
      <c r="L27" s="15">
        <v>4.638490099009901</v>
      </c>
      <c r="M27" s="18">
        <v>19.70021245872992</v>
      </c>
      <c r="N27" s="19">
        <v>0.3480857175070101</v>
      </c>
      <c r="O27" s="18">
        <v>0.4028196646851412</v>
      </c>
    </row>
    <row r="28" spans="2:15" x14ac:dyDescent="0.25">
      <c r="B28" s="22">
        <v>7.0</v>
      </c>
      <c r="C28" s="16">
        <v>32.678125</v>
      </c>
      <c r="D28" s="21">
        <v>0.4129125</v>
      </c>
      <c r="E28" s="16">
        <v>0.74725</v>
      </c>
      <c r="G28" s="22">
        <v>6.28245232775244</v>
      </c>
      <c r="H28" s="16">
        <v>26.32203445269712</v>
      </c>
      <c r="I28" s="21">
        <v>0.4065287054900668</v>
      </c>
      <c r="J28" s="16">
        <v>0.6019054105698513</v>
      </c>
      <c r="L28" s="22">
        <v>5.411571782178218</v>
      </c>
      <c r="M28" s="16">
        <v>19.5302542359631</v>
      </c>
      <c r="N28" s="21">
        <v>0.397606474662622</v>
      </c>
      <c r="O28" s="16">
        <v>0.44659791459342985</v>
      </c>
    </row>
    <row r="29" spans="2:15" x14ac:dyDescent="0.25">
      <c r="B29" s="15">
        <v>8.0</v>
      </c>
      <c r="C29" s="18">
        <v>32.35</v>
      </c>
      <c r="D29" s="19">
        <v>0.4576</v>
      </c>
      <c r="E29" s="18">
        <v>0.826</v>
      </c>
      <c r="G29" s="15">
        <v>7.17994551743136</v>
      </c>
      <c r="H29" s="18">
        <v>26.05773172557336</v>
      </c>
      <c r="I29" s="19">
        <v>0.4517021225248574</v>
      </c>
      <c r="J29" s="18">
        <v>0.6653380650795546</v>
      </c>
      <c r="L29" s="15">
        <v>6.184653465346535</v>
      </c>
      <c r="M29" s="18">
        <v>19.334148594309074</v>
      </c>
      <c r="N29" s="19">
        <v>0.44345902758448474</v>
      </c>
      <c r="O29" s="18">
        <v>0.4936632685903955</v>
      </c>
    </row>
    <row r="30" spans="2:15" x14ac:dyDescent="0.25">
      <c r="B30" s="22">
        <v>9.0</v>
      </c>
      <c r="C30" s="16">
        <v>31.978125</v>
      </c>
      <c r="D30" s="21">
        <v>0.4987125</v>
      </c>
      <c r="E30" s="16">
        <v>0.91025</v>
      </c>
      <c r="G30" s="22">
        <v>8.07743870711028</v>
      </c>
      <c r="H30" s="16">
        <v>25.75818863483309</v>
      </c>
      <c r="I30" s="21">
        <v>0.49326166619686485</v>
      </c>
      <c r="J30" s="16">
        <v>0.7332009367296182</v>
      </c>
      <c r="L30" s="22">
        <v>6.9577351485148515</v>
      </c>
      <c r="M30" s="16">
        <v>19.111895533767846</v>
      </c>
      <c r="N30" s="21">
        <v>0.48564337627259846</v>
      </c>
      <c r="O30" s="16">
        <v>0.5440157266760381</v>
      </c>
    </row>
    <row r="31" spans="2:15" x14ac:dyDescent="0.25">
      <c r="B31" s="15">
        <v>10.0</v>
      </c>
      <c r="C31" s="18">
        <v>31.5625</v>
      </c>
      <c r="D31" s="19">
        <v>0.53625</v>
      </c>
      <c r="E31" s="18">
        <v>1.0</v>
      </c>
      <c r="G31" s="15">
        <v>8.974931896789201</v>
      </c>
      <c r="H31" s="18">
        <v>25.423405180476323</v>
      </c>
      <c r="I31" s="19">
        <v>0.531207336506089</v>
      </c>
      <c r="J31" s="18">
        <v>0.8054940255200419</v>
      </c>
      <c r="L31" s="15">
        <v>7.7308168316831685</v>
      </c>
      <c r="M31" s="18">
        <v>18.863495054339417</v>
      </c>
      <c r="N31" s="19">
        <v>0.5241595207269631</v>
      </c>
      <c r="O31" s="18">
        <v>0.5976552888503578</v>
      </c>
    </row>
    <row r="32" spans="2:15" x14ac:dyDescent="0.25">
      <c r="B32" s="22">
        <v>11.0</v>
      </c>
      <c r="C32" s="16">
        <v>31.103125</v>
      </c>
      <c r="D32" s="21">
        <v>0.5702125</v>
      </c>
      <c r="E32" s="16">
        <v>1.09525</v>
      </c>
      <c r="G32" s="22">
        <v>9.87242508646812</v>
      </c>
      <c r="H32" s="16">
        <v>25.053381362503053</v>
      </c>
      <c r="I32" s="21">
        <v>0.5655391334525298</v>
      </c>
      <c r="J32" s="16">
        <v>0.8822173314508259</v>
      </c>
      <c r="L32" s="22">
        <v>8.503898514851485</v>
      </c>
      <c r="M32" s="16">
        <v>18.588947156023785</v>
      </c>
      <c r="N32" s="21">
        <v>0.5590074609475788</v>
      </c>
      <c r="O32" s="16">
        <v>0.6545819551133544</v>
      </c>
    </row>
    <row r="33" spans="2:15" x14ac:dyDescent="0.25">
      <c r="B33" s="15">
        <v>12.0</v>
      </c>
      <c r="C33" s="18">
        <v>30.6</v>
      </c>
      <c r="D33" s="19">
        <v>0.6006</v>
      </c>
      <c r="E33" s="18">
        <v>1.196</v>
      </c>
      <c r="G33" s="15">
        <v>10.76991827614704</v>
      </c>
      <c r="H33" s="18">
        <v>24.64811718091328</v>
      </c>
      <c r="I33" s="19">
        <v>0.5962570570361874</v>
      </c>
      <c r="J33" s="18">
        <v>0.96337085452197</v>
      </c>
      <c r="L33" s="15">
        <v>9.276980198019801</v>
      </c>
      <c r="M33" s="18">
        <v>18.288251838820948</v>
      </c>
      <c r="N33" s="19">
        <v>0.5901871969344454</v>
      </c>
      <c r="O33" s="18">
        <v>0.7147957254650279</v>
      </c>
    </row>
    <row r="34" spans="2:15" x14ac:dyDescent="0.25">
      <c r="B34" s="22">
        <v>13.0</v>
      </c>
      <c r="C34" s="16">
        <v>30.053125</v>
      </c>
      <c r="D34" s="21">
        <v>0.6274125</v>
      </c>
      <c r="E34" s="16">
        <v>1.30225</v>
      </c>
      <c r="G34" s="22">
        <v>11.66741146582596</v>
      </c>
      <c r="H34" s="16">
        <v>24.20761263570701</v>
      </c>
      <c r="I34" s="21">
        <v>0.6233611072570618</v>
      </c>
      <c r="J34" s="16">
        <v>1.0489545947334744</v>
      </c>
      <c r="L34" s="22">
        <v>10.05006188118812</v>
      </c>
      <c r="M34" s="16">
        <v>17.96140910273091</v>
      </c>
      <c r="N34" s="21">
        <v>0.617698728687563</v>
      </c>
      <c r="O34" s="16">
        <v>0.7782965999053784</v>
      </c>
    </row>
    <row r="35" spans="2:15" x14ac:dyDescent="0.25">
      <c r="B35" s="15">
        <v>14.0</v>
      </c>
      <c r="C35" s="18">
        <v>29.4625</v>
      </c>
      <c r="D35" s="19">
        <v>0.65065</v>
      </c>
      <c r="E35" s="18">
        <v>1.414</v>
      </c>
      <c r="G35" s="15">
        <v>12.56490465550488</v>
      </c>
      <c r="H35" s="18">
        <v>23.731867726884232</v>
      </c>
      <c r="I35" s="19">
        <v>0.6468512841151528</v>
      </c>
      <c r="J35" s="18">
        <v>1.1389685520853392</v>
      </c>
      <c r="L35" s="15">
        <v>10.823143564356435</v>
      </c>
      <c r="M35" s="18">
        <v>17.608418947753666</v>
      </c>
      <c r="N35" s="19">
        <v>0.6415420562069316</v>
      </c>
      <c r="O35" s="18">
        <v>0.8450845784344059</v>
      </c>
    </row>
    <row r="36" spans="2:15" x14ac:dyDescent="0.25">
      <c r="B36" s="22">
        <v>15.0</v>
      </c>
      <c r="C36" s="16">
        <v>28.828125</v>
      </c>
      <c r="D36" s="21">
        <v>0.6703125</v>
      </c>
      <c r="E36" s="16">
        <v>1.53125</v>
      </c>
      <c r="G36" s="22">
        <v>13.4623978451838</v>
      </c>
      <c r="H36" s="16">
        <v>23.220882454444958</v>
      </c>
      <c r="I36" s="21">
        <v>0.6667275876104608</v>
      </c>
      <c r="J36" s="16">
        <v>1.233412726577564</v>
      </c>
      <c r="L36" s="22">
        <v>11.596225247524753</v>
      </c>
      <c r="M36" s="16">
        <v>17.229281373889222</v>
      </c>
      <c r="N36" s="21">
        <v>0.6617171794925512</v>
      </c>
      <c r="O36" s="16">
        <v>0.9151596610521103</v>
      </c>
    </row>
    <row r="37" spans="2:15" x14ac:dyDescent="0.25">
      <c r="B37" s="15">
        <v>16.0</v>
      </c>
      <c r="C37" s="18">
        <v>28.15</v>
      </c>
      <c r="D37" s="19">
        <v>0.6864</v>
      </c>
      <c r="E37" s="18">
        <v>1.654</v>
      </c>
      <c r="G37" s="15">
        <v>14.35989103486272</v>
      </c>
      <c r="H37" s="18">
        <v>22.674656818389177</v>
      </c>
      <c r="I37" s="19">
        <v>0.6829900177429854</v>
      </c>
      <c r="J37" s="18">
        <v>1.3322871182101492</v>
      </c>
      <c r="L37" s="15">
        <v>12.36930693069307</v>
      </c>
      <c r="M37" s="18">
        <v>16.823996381137572</v>
      </c>
      <c r="N37" s="19">
        <v>0.6782240985444219</v>
      </c>
      <c r="O37" s="18">
        <v>0.9885218477584917</v>
      </c>
    </row>
    <row r="38" spans="2:15" x14ac:dyDescent="0.25">
      <c r="B38" s="22">
        <v>17.0</v>
      </c>
      <c r="C38" s="16">
        <v>27.428125</v>
      </c>
      <c r="D38" s="21">
        <v>0.6989125</v>
      </c>
      <c r="E38" s="16">
        <v>1.78225</v>
      </c>
      <c r="G38" s="22">
        <v>15.25738422454164</v>
      </c>
      <c r="H38" s="16">
        <v>22.093190818716902</v>
      </c>
      <c r="I38" s="21">
        <v>0.6956385745127268</v>
      </c>
      <c r="J38" s="16">
        <v>1.4355917269830947</v>
      </c>
      <c r="L38" s="22">
        <v>13.142388613861385</v>
      </c>
      <c r="M38" s="16">
        <v>16.39256396949872</v>
      </c>
      <c r="N38" s="21">
        <v>0.6910628133625434</v>
      </c>
      <c r="O38" s="16">
        <v>1.06517113855355</v>
      </c>
    </row>
    <row r="39" spans="2:15" x14ac:dyDescent="0.25">
      <c r="B39" s="15">
        <v>18.0</v>
      </c>
      <c r="C39" s="18">
        <v>26.6625</v>
      </c>
      <c r="D39" s="19">
        <v>0.70785</v>
      </c>
      <c r="E39" s="18">
        <v>1.916</v>
      </c>
      <c r="G39" s="15">
        <v>16.15487741422056</v>
      </c>
      <c r="H39" s="18">
        <v>21.476484455428118</v>
      </c>
      <c r="I39" s="19">
        <v>0.7046732579196848</v>
      </c>
      <c r="J39" s="18">
        <v>1.5433265528964002</v>
      </c>
      <c r="L39" s="15">
        <v>13.915470297029703</v>
      </c>
      <c r="M39" s="18">
        <v>15.934984138972666</v>
      </c>
      <c r="N39" s="19">
        <v>0.7002333239469158</v>
      </c>
      <c r="O39" s="18">
        <v>1.1451075334372856</v>
      </c>
    </row>
    <row r="40" spans="2:15" x14ac:dyDescent="0.25">
      <c r="B40" s="22">
        <v>19.0</v>
      </c>
      <c r="C40" s="16">
        <v>25.853125</v>
      </c>
      <c r="D40" s="21">
        <v>0.7132125</v>
      </c>
      <c r="E40" s="16">
        <v>2.05525</v>
      </c>
      <c r="G40" s="22">
        <v>17.05237060389948</v>
      </c>
      <c r="H40" s="16">
        <v>20.82453772852283</v>
      </c>
      <c r="I40" s="21">
        <v>0.7100940679638599</v>
      </c>
      <c r="J40" s="16">
        <v>1.6554915959500662</v>
      </c>
      <c r="L40" s="22">
        <v>14.688551980198019</v>
      </c>
      <c r="M40" s="16">
        <v>15.451256889559405</v>
      </c>
      <c r="N40" s="21">
        <v>0.7057356302975395</v>
      </c>
      <c r="O40" s="16">
        <v>1.2283310324096979</v>
      </c>
    </row>
    <row r="41" spans="2:15" x14ac:dyDescent="0.25">
      <c r="B41" s="15">
        <v>20.0</v>
      </c>
      <c r="C41" s="18">
        <v>25.0</v>
      </c>
      <c r="D41" s="19">
        <v>0.715</v>
      </c>
      <c r="E41" s="18">
        <v>2.2</v>
      </c>
      <c r="G41" s="15">
        <v>17.949863793578402</v>
      </c>
      <c r="H41" s="18">
        <v>20.13735063800105</v>
      </c>
      <c r="I41" s="19">
        <v>0.7119010046452514</v>
      </c>
      <c r="J41" s="18">
        <v>1.7720868561440923</v>
      </c>
      <c r="L41" s="15">
        <v>15.461633663366337</v>
      </c>
      <c r="M41" s="18">
        <v>14.941382221258944</v>
      </c>
      <c r="N41" s="19">
        <v>0.7075697324144139</v>
      </c>
      <c r="O41" s="18">
        <v>1.3148416354707873</v>
      </c>
    </row>
    <row r="42" spans="2:15" x14ac:dyDescent="0.25">
      <c r="B42" s="22">
        <v>21.0</v>
      </c>
      <c r="C42" s="16">
        <v>24.103125</v>
      </c>
      <c r="D42" s="21">
        <v>0.7132125</v>
      </c>
      <c r="E42" s="16">
        <v>2.35025</v>
      </c>
      <c r="G42" s="22">
        <v>18.84735698325732</v>
      </c>
      <c r="H42" s="16">
        <v>19.414923183862758</v>
      </c>
      <c r="I42" s="21">
        <v>0.7100940679638599</v>
      </c>
      <c r="J42" s="16">
        <v>1.8931123334784785</v>
      </c>
      <c r="L42" s="22">
        <v>16.234715346534653</v>
      </c>
      <c r="M42" s="16">
        <v>14.405360134071278</v>
      </c>
      <c r="N42" s="21">
        <v>0.7057356302975395</v>
      </c>
      <c r="O42" s="16">
        <v>1.4046393426205535</v>
      </c>
    </row>
    <row r="43" spans="2:15" x14ac:dyDescent="0.25">
      <c r="B43" s="15">
        <v>22.0</v>
      </c>
      <c r="C43" s="18">
        <v>23.1625</v>
      </c>
      <c r="D43" s="19">
        <v>0.70785</v>
      </c>
      <c r="E43" s="18">
        <v>2.506</v>
      </c>
      <c r="G43" s="15">
        <v>19.74485017293624</v>
      </c>
      <c r="H43" s="18">
        <v>18.65725536610797</v>
      </c>
      <c r="I43" s="19">
        <v>0.7046732579196848</v>
      </c>
      <c r="J43" s="18">
        <v>2.0185680279532248</v>
      </c>
      <c r="L43" s="15">
        <v>17.00779702970297</v>
      </c>
      <c r="M43" s="18">
        <v>13.843190627996414</v>
      </c>
      <c r="N43" s="19">
        <v>0.7002333239469158</v>
      </c>
      <c r="O43" s="18">
        <v>1.4977241538589965</v>
      </c>
    </row>
    <row r="44" spans="2:15" x14ac:dyDescent="0.25">
      <c r="B44" s="22">
        <v>23.0</v>
      </c>
      <c r="C44" s="16">
        <v>22.178125</v>
      </c>
      <c r="D44" s="21">
        <v>0.6989125</v>
      </c>
      <c r="E44" s="16">
        <v>2.66725</v>
      </c>
      <c r="G44" s="22">
        <v>20.64234336261516</v>
      </c>
      <c r="H44" s="16">
        <v>17.86434718473668</v>
      </c>
      <c r="I44" s="21">
        <v>0.6956385745127268</v>
      </c>
      <c r="J44" s="16">
        <v>2.148453939568332</v>
      </c>
      <c r="L44" s="22">
        <v>17.78087871287129</v>
      </c>
      <c r="M44" s="16">
        <v>13.254873703034342</v>
      </c>
      <c r="N44" s="21">
        <v>0.6910628133625434</v>
      </c>
      <c r="O44" s="16">
        <v>1.5940960691861168</v>
      </c>
    </row>
    <row r="45" spans="2:15" x14ac:dyDescent="0.25">
      <c r="B45" s="15">
        <v>24.0</v>
      </c>
      <c r="C45" s="18">
        <v>21.15</v>
      </c>
      <c r="D45" s="19">
        <v>0.6864</v>
      </c>
      <c r="E45" s="18">
        <v>2.834</v>
      </c>
      <c r="G45" s="15">
        <v>21.53983655229408</v>
      </c>
      <c r="H45" s="18">
        <v>17.036198639748886</v>
      </c>
      <c r="I45" s="19">
        <v>0.6829900177429854</v>
      </c>
      <c r="J45" s="18">
        <v>2.282770068323799</v>
      </c>
      <c r="L45" s="15">
        <v>18.553960396039603</v>
      </c>
      <c r="M45" s="18">
        <v>12.640409359185066</v>
      </c>
      <c r="N45" s="19">
        <v>0.6782240985444219</v>
      </c>
      <c r="O45" s="18">
        <v>1.693755088601914</v>
      </c>
    </row>
    <row r="46" spans="2:15" x14ac:dyDescent="0.25">
      <c r="B46" s="22">
        <v>25.0</v>
      </c>
      <c r="C46" s="16">
        <v>20.078125</v>
      </c>
      <c r="D46" s="21">
        <v>0.6703125</v>
      </c>
      <c r="E46" s="16">
        <v>3.00625</v>
      </c>
      <c r="G46" s="22">
        <v>22.437329741973</v>
      </c>
      <c r="H46" s="16">
        <v>16.172809731144593</v>
      </c>
      <c r="I46" s="21">
        <v>0.6667275876104608</v>
      </c>
      <c r="J46" s="16">
        <v>2.421516414219626</v>
      </c>
      <c r="L46" s="22">
        <v>19.32704207920792</v>
      </c>
      <c r="M46" s="16">
        <v>11.99979759644859</v>
      </c>
      <c r="N46" s="21">
        <v>0.6617171794925512</v>
      </c>
      <c r="O46" s="16">
        <v>1.7967012121063881</v>
      </c>
    </row>
    <row r="47" spans="2:15" x14ac:dyDescent="0.25">
      <c r="B47" s="15">
        <v>26.0</v>
      </c>
      <c r="C47" s="18">
        <v>18.9625</v>
      </c>
      <c r="D47" s="19">
        <v>0.65065</v>
      </c>
      <c r="E47" s="18">
        <v>3.184</v>
      </c>
      <c r="G47" s="15">
        <v>23.33482293165192</v>
      </c>
      <c r="H47" s="18">
        <v>15.274180458923793</v>
      </c>
      <c r="I47" s="19">
        <v>0.6468512841151528</v>
      </c>
      <c r="J47" s="18">
        <v>2.5646929772558136</v>
      </c>
      <c r="L47" s="15">
        <v>20.10012376237624</v>
      </c>
      <c r="M47" s="18">
        <v>11.333038414824909</v>
      </c>
      <c r="N47" s="19">
        <v>0.6415420562069316</v>
      </c>
      <c r="O47" s="18">
        <v>1.9029344396995393</v>
      </c>
    </row>
    <row r="48" spans="2:15" x14ac:dyDescent="0.25">
      <c r="B48" s="22">
        <v>27.0</v>
      </c>
      <c r="C48" s="16">
        <v>17.803125</v>
      </c>
      <c r="D48" s="21">
        <v>0.6274125</v>
      </c>
      <c r="E48" s="16">
        <v>3.36725</v>
      </c>
      <c r="G48" s="22">
        <v>24.23231612133084</v>
      </c>
      <c r="H48" s="16">
        <v>14.340310823086497</v>
      </c>
      <c r="I48" s="21">
        <v>0.6233611072570618</v>
      </c>
      <c r="J48" s="16">
        <v>2.712299757432361</v>
      </c>
      <c r="L48" s="22">
        <v>20.873205445544553</v>
      </c>
      <c r="M48" s="16">
        <v>10.640131814314026</v>
      </c>
      <c r="N48" s="21">
        <v>0.617698728687563</v>
      </c>
      <c r="O48" s="16">
        <v>2.012454771381367</v>
      </c>
    </row>
    <row r="49" spans="2:15" x14ac:dyDescent="0.25">
      <c r="B49" s="15">
        <v>28.0</v>
      </c>
      <c r="C49" s="18">
        <v>16.6</v>
      </c>
      <c r="D49" s="19">
        <v>0.6006</v>
      </c>
      <c r="E49" s="18">
        <v>3.556</v>
      </c>
      <c r="G49" s="15">
        <v>25.12980931100976</v>
      </c>
      <c r="H49" s="18">
        <v>13.371200823632696</v>
      </c>
      <c r="I49" s="19">
        <v>0.5962570570361874</v>
      </c>
      <c r="J49" s="18">
        <v>2.864336754749269</v>
      </c>
      <c r="L49" s="15">
        <v>21.64628712871287</v>
      </c>
      <c r="M49" s="18">
        <v>9.92107779491594</v>
      </c>
      <c r="N49" s="19">
        <v>0.5901871969344454</v>
      </c>
      <c r="O49" s="18">
        <v>2.1252622071518723</v>
      </c>
    </row>
    <row r="50" spans="2:15" x14ac:dyDescent="0.25">
      <c r="B50" s="22">
        <v>29.0</v>
      </c>
      <c r="C50" s="16">
        <v>15.353125</v>
      </c>
      <c r="D50" s="21">
        <v>0.5702125</v>
      </c>
      <c r="E50" s="16">
        <v>3.75025</v>
      </c>
      <c r="G50" s="22">
        <v>26.02730250068868</v>
      </c>
      <c r="H50" s="16">
        <v>12.366850460562393</v>
      </c>
      <c r="I50" s="21">
        <v>0.5655391334525298</v>
      </c>
      <c r="J50" s="16">
        <v>3.020803969206537</v>
      </c>
      <c r="L50" s="22">
        <v>22.41936881188119</v>
      </c>
      <c r="M50" s="16">
        <v>9.17587635663065</v>
      </c>
      <c r="N50" s="21">
        <v>0.5590074609475788</v>
      </c>
      <c r="O50" s="16">
        <v>2.241356747011054</v>
      </c>
    </row>
    <row r="51" spans="2:15" x14ac:dyDescent="0.25">
      <c r="B51" s="15">
        <v>30.0</v>
      </c>
      <c r="C51" s="18">
        <v>14.0625</v>
      </c>
      <c r="D51" s="19">
        <v>0.53625</v>
      </c>
      <c r="E51" s="18">
        <v>3.95</v>
      </c>
      <c r="G51" s="15">
        <v>26.9247956903676</v>
      </c>
      <c r="H51" s="18">
        <v>11.32725973387559</v>
      </c>
      <c r="I51" s="19">
        <v>0.531207336506089</v>
      </c>
      <c r="J51" s="18">
        <v>3.1817014008041657</v>
      </c>
      <c r="L51" s="15">
        <v>23.192450495049506</v>
      </c>
      <c r="M51" s="18">
        <v>8.404527499458156</v>
      </c>
      <c r="N51" s="19">
        <v>0.5241595207269631</v>
      </c>
      <c r="O51" s="18">
        <v>2.3607383909589132</v>
      </c>
    </row>
  </sheetData>
  <mergeCells count="3">
    <mergeCell ref="L2:O2"/>
    <mergeCell ref="G2:J2"/>
    <mergeCell ref="B2:E2"/>
  </mergeCells>
  <pageMargins left="0.75" right="0.75" top="1" bottom="1" header="0.5" footer="0.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5B9BD5"/>
  </sheetPr>
  <dimension ref="A1:C62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16" customWidth="1"/>
    <col min="2" max="3" width="21" customWidth="1"/>
    <col min="4" max="5" width="3" customWidth="1"/>
    <col min="6" max="6" width="3" customWidth="1"/>
  </cols>
  <sheetData>
    <row r="1" spans="1:3" x14ac:dyDescent="0.25">
      <c r="A1" s="26" t="s">
        <v>44</v>
      </c>
      <c r="B1" s="26" t="s">
        <v>45</v>
      </c>
      <c r="C1" s="26" t="s">
        <v>46</v>
      </c>
    </row>
    <row r="2" spans="1:3" x14ac:dyDescent="0.25">
      <c r="A2" s="15">
        <v>0.0</v>
      </c>
      <c r="B2" s="18">
        <v>4.0</v>
      </c>
      <c r="C2" s="18">
        <v>5.0</v>
      </c>
    </row>
    <row r="3" spans="1:3" x14ac:dyDescent="0.25">
      <c r="A3" s="22">
        <v>0.44874659483946</v>
      </c>
      <c r="B3" s="16">
        <v>4.018179552659307</v>
      </c>
      <c r="C3" s="16">
        <v>5.02657011542514</v>
      </c>
    </row>
    <row r="4" spans="1:3" x14ac:dyDescent="0.25">
      <c r="A4" s="15">
        <v>0.89749318967892</v>
      </c>
      <c r="B4" s="18">
        <v>4.072718210637226</v>
      </c>
      <c r="C4" s="18">
        <v>5.106280461700561</v>
      </c>
    </row>
    <row r="5" spans="1:3" x14ac:dyDescent="0.25">
      <c r="A5" s="22">
        <v>1.34623978451838</v>
      </c>
      <c r="B5" s="16">
        <v>4.163615973933759</v>
      </c>
      <c r="C5" s="16">
        <v>5.239131038826263</v>
      </c>
    </row>
    <row r="6" spans="1:3" x14ac:dyDescent="0.25">
      <c r="A6" s="15">
        <v>1.79498637935784</v>
      </c>
      <c r="B6" s="18">
        <v>4.290872842548904</v>
      </c>
      <c r="C6" s="18">
        <v>5.425121846802244</v>
      </c>
    </row>
    <row r="7" spans="1:3" x14ac:dyDescent="0.25">
      <c r="A7" s="22">
        <v>2.2437329741973002</v>
      </c>
      <c r="B7" s="16">
        <v>4.454488816482662</v>
      </c>
      <c r="C7" s="16">
        <v>5.664252885628507</v>
      </c>
    </row>
    <row r="8" spans="1:3" x14ac:dyDescent="0.25">
      <c r="A8" s="15">
        <v>2.69247956903676</v>
      </c>
      <c r="B8" s="18">
        <v>4.654463895735034</v>
      </c>
      <c r="C8" s="18">
        <v>5.95652415530505</v>
      </c>
    </row>
    <row r="9" spans="1:3" x14ac:dyDescent="0.25">
      <c r="A9" s="22">
        <v>3.14122616387622</v>
      </c>
      <c r="B9" s="16">
        <v>4.890798080306018</v>
      </c>
      <c r="C9" s="16">
        <v>6.301935655831873</v>
      </c>
    </row>
    <row r="10" spans="1:3" x14ac:dyDescent="0.25">
      <c r="A10" s="15">
        <v>3.58997275871568</v>
      </c>
      <c r="B10" s="18">
        <v>5.163491370195616</v>
      </c>
      <c r="C10" s="18">
        <v>6.700487387208978</v>
      </c>
    </row>
    <row r="11" spans="1:3" x14ac:dyDescent="0.25">
      <c r="A11" s="22">
        <v>4.03871935355514</v>
      </c>
      <c r="B11" s="16">
        <v>5.4725437654038265</v>
      </c>
      <c r="C11" s="16">
        <v>7.152179349436363</v>
      </c>
    </row>
    <row r="12" spans="1:3" x14ac:dyDescent="0.25">
      <c r="A12" s="15">
        <v>4.4874659483946004</v>
      </c>
      <c r="B12" s="18">
        <v>5.81795526593065</v>
      </c>
      <c r="C12" s="18">
        <v>7.657011542514027</v>
      </c>
    </row>
    <row r="13" spans="1:3" x14ac:dyDescent="0.25">
      <c r="A13" s="22">
        <v>4.93621254323406</v>
      </c>
      <c r="B13" s="16">
        <v>6.199725871776087</v>
      </c>
      <c r="C13" s="16">
        <v>8.214983966441972</v>
      </c>
    </row>
    <row r="14" spans="1:3" x14ac:dyDescent="0.25">
      <c r="A14" s="15">
        <v>5.38495913807352</v>
      </c>
      <c r="B14" s="18">
        <v>6.617855582940136</v>
      </c>
      <c r="C14" s="18">
        <v>8.826096621220199</v>
      </c>
    </row>
    <row r="15" spans="1:3" x14ac:dyDescent="0.25">
      <c r="A15" s="22">
        <v>5.83370573291298</v>
      </c>
      <c r="B15" s="16">
        <v>7.072344399422799</v>
      </c>
      <c r="C15" s="16">
        <v>9.490349506848705</v>
      </c>
    </row>
    <row r="16" spans="1:3" x14ac:dyDescent="0.25">
      <c r="A16" s="15">
        <v>6.28245232775244</v>
      </c>
      <c r="B16" s="18">
        <v>7.563192321224074</v>
      </c>
      <c r="C16" s="18">
        <v>10.20774262332749</v>
      </c>
    </row>
    <row r="17" spans="1:3" x14ac:dyDescent="0.25">
      <c r="A17" s="22">
        <v>6.7311989225919</v>
      </c>
      <c r="B17" s="16">
        <v>8.090399348343961</v>
      </c>
      <c r="C17" s="16">
        <v>10.978275970656561</v>
      </c>
    </row>
    <row r="18" spans="1:3" x14ac:dyDescent="0.25">
      <c r="A18" s="15">
        <v>7.17994551743136</v>
      </c>
      <c r="B18" s="18">
        <v>8.653965480782464</v>
      </c>
      <c r="C18" s="18">
        <v>11.80194954883591</v>
      </c>
    </row>
    <row r="19" spans="1:3" x14ac:dyDescent="0.25">
      <c r="A19" s="22">
        <v>7.62869211227082</v>
      </c>
      <c r="B19" s="16">
        <v>9.25389071853958</v>
      </c>
      <c r="C19" s="16">
        <v>12.678763357865538</v>
      </c>
    </row>
    <row r="20" spans="1:3" x14ac:dyDescent="0.25">
      <c r="A20" s="15">
        <v>8.07743870711028</v>
      </c>
      <c r="B20" s="18">
        <v>9.890175061615306</v>
      </c>
      <c r="C20" s="18">
        <v>13.60871739774545</v>
      </c>
    </row>
    <row r="21" spans="1:3" x14ac:dyDescent="0.25">
      <c r="A21" s="22">
        <v>8.52618530194974</v>
      </c>
      <c r="B21" s="16">
        <v>10.562818510009645</v>
      </c>
      <c r="C21" s="16">
        <v>14.591811668475636</v>
      </c>
    </row>
    <row r="22" spans="1:3" x14ac:dyDescent="0.25">
      <c r="A22" s="15">
        <v>8.974931896789201</v>
      </c>
      <c r="B22" s="18">
        <v>11.271821063722602</v>
      </c>
      <c r="C22" s="18">
        <v>15.62804617005611</v>
      </c>
    </row>
    <row r="23" spans="1:3" x14ac:dyDescent="0.25">
      <c r="A23" s="22">
        <v>9.42367849162866</v>
      </c>
      <c r="B23" s="16">
        <v>12.017182722754168</v>
      </c>
      <c r="C23" s="16">
        <v>16.71742090248686</v>
      </c>
    </row>
    <row r="24" spans="1:3" x14ac:dyDescent="0.25">
      <c r="A24" s="15">
        <v>9.87242508646812</v>
      </c>
      <c r="B24" s="18">
        <v>12.798903487104345</v>
      </c>
      <c r="C24" s="18">
        <v>17.859935865767888</v>
      </c>
    </row>
    <row r="25" spans="1:3" x14ac:dyDescent="0.25">
      <c r="A25" s="22">
        <v>10.32117168130758</v>
      </c>
      <c r="B25" s="16">
        <v>13.61698335677314</v>
      </c>
      <c r="C25" s="16">
        <v>19.055591059899207</v>
      </c>
    </row>
    <row r="26" spans="1:3" x14ac:dyDescent="0.25">
      <c r="A26" s="15">
        <v>10.76991827614704</v>
      </c>
      <c r="B26" s="18">
        <v>14.471422331760545</v>
      </c>
      <c r="C26" s="18">
        <v>20.304386484880794</v>
      </c>
    </row>
    <row r="27" spans="1:3" x14ac:dyDescent="0.25">
      <c r="A27" s="22">
        <v>11.2186648709865</v>
      </c>
      <c r="B27" s="16">
        <v>15.362220412066561</v>
      </c>
      <c r="C27" s="16">
        <v>21.606322140712667</v>
      </c>
    </row>
    <row r="28" spans="1:3" x14ac:dyDescent="0.25">
      <c r="A28" s="15">
        <v>11.66741146582596</v>
      </c>
      <c r="B28" s="18">
        <v>16.289377597691196</v>
      </c>
      <c r="C28" s="18">
        <v>22.961398027394825</v>
      </c>
    </row>
    <row r="29" spans="1:3" x14ac:dyDescent="0.25">
      <c r="A29" s="22">
        <v>12.11615806066542</v>
      </c>
      <c r="B29" s="16">
        <v>17.25289388863444</v>
      </c>
      <c r="C29" s="16">
        <v>24.369614144927258</v>
      </c>
    </row>
    <row r="30" spans="1:3" x14ac:dyDescent="0.25">
      <c r="A30" s="15">
        <v>12.56490465550488</v>
      </c>
      <c r="B30" s="18">
        <v>18.252769284896296</v>
      </c>
      <c r="C30" s="18">
        <v>25.830970493309966</v>
      </c>
    </row>
    <row r="31" spans="1:3" x14ac:dyDescent="0.25">
      <c r="A31" s="22">
        <v>13.01365125034434</v>
      </c>
      <c r="B31" s="16">
        <v>19.28900378647677</v>
      </c>
      <c r="C31" s="16">
        <v>27.34546707254297</v>
      </c>
    </row>
    <row r="32" spans="1:3" x14ac:dyDescent="0.25">
      <c r="A32" s="15">
        <v>13.4623978451838</v>
      </c>
      <c r="B32" s="18">
        <v>20.36159739337585</v>
      </c>
      <c r="C32" s="18">
        <v>28.913103882626242</v>
      </c>
    </row>
    <row r="33" spans="1:3" x14ac:dyDescent="0.25">
      <c r="A33" s="15">
        <v>13.91114444002326</v>
      </c>
      <c r="B33" s="18">
        <v>21.47055010559355</v>
      </c>
      <c r="C33" s="18">
        <v>30.533880923559803</v>
      </c>
    </row>
    <row r="34" spans="1:3" x14ac:dyDescent="0.25">
      <c r="A34" s="22">
        <v>14.35989103486272</v>
      </c>
      <c r="B34" s="16">
        <v>22.615861923129856</v>
      </c>
      <c r="C34" s="16">
        <v>32.20779819534364</v>
      </c>
    </row>
    <row r="35" spans="1:3" x14ac:dyDescent="0.25">
      <c r="A35" s="15">
        <v>14.80863762970218</v>
      </c>
      <c r="B35" s="18">
        <v>23.797532845984776</v>
      </c>
      <c r="C35" s="18">
        <v>33.93485569797775</v>
      </c>
    </row>
    <row r="36" spans="1:3" x14ac:dyDescent="0.25">
      <c r="A36" s="22">
        <v>15.25738422454164</v>
      </c>
      <c r="B36" s="16">
        <v>25.015562874158316</v>
      </c>
      <c r="C36" s="16">
        <v>35.71505343146215</v>
      </c>
    </row>
    <row r="37" spans="1:3" x14ac:dyDescent="0.25">
      <c r="A37" s="15">
        <v>15.7061308193811</v>
      </c>
      <c r="B37" s="18">
        <v>26.269952007650463</v>
      </c>
      <c r="C37" s="18">
        <v>37.54839139579683</v>
      </c>
    </row>
    <row r="38" spans="1:3" x14ac:dyDescent="0.25">
      <c r="A38" s="22">
        <v>16.15487741422056</v>
      </c>
      <c r="B38" s="16">
        <v>27.560700246461227</v>
      </c>
      <c r="C38" s="16">
        <v>39.4348695909818</v>
      </c>
    </row>
    <row r="39" spans="1:3" x14ac:dyDescent="0.25">
      <c r="A39" s="15">
        <v>16.60362400906002</v>
      </c>
      <c r="B39" s="18">
        <v>28.8878075905906</v>
      </c>
      <c r="C39" s="18">
        <v>41.374488017017036</v>
      </c>
    </row>
    <row r="40" spans="1:3" x14ac:dyDescent="0.25">
      <c r="A40" s="22">
        <v>17.05237060389948</v>
      </c>
      <c r="B40" s="16">
        <v>30.251274040038584</v>
      </c>
      <c r="C40" s="16">
        <v>43.36724667390254</v>
      </c>
    </row>
    <row r="41" spans="1:3" x14ac:dyDescent="0.25">
      <c r="A41" s="15">
        <v>17.50111719873894</v>
      </c>
      <c r="B41" s="18">
        <v>31.65109959480518</v>
      </c>
      <c r="C41" s="18">
        <v>45.413145561638345</v>
      </c>
    </row>
    <row r="42" spans="1:3" x14ac:dyDescent="0.25">
      <c r="A42" s="22">
        <v>17.949863793578402</v>
      </c>
      <c r="B42" s="16">
        <v>33.087284254890406</v>
      </c>
      <c r="C42" s="16">
        <v>47.51218468022444</v>
      </c>
    </row>
    <row r="43" spans="1:3" x14ac:dyDescent="0.25">
      <c r="A43" s="15">
        <v>18.39861038841786</v>
      </c>
      <c r="B43" s="18">
        <v>34.55982802029423</v>
      </c>
      <c r="C43" s="18">
        <v>49.6643640296608</v>
      </c>
    </row>
    <row r="44" spans="1:3" x14ac:dyDescent="0.25">
      <c r="A44" s="22">
        <v>18.84735698325732</v>
      </c>
      <c r="B44" s="16">
        <v>36.06873089101667</v>
      </c>
      <c r="C44" s="16">
        <v>51.869683609947444</v>
      </c>
    </row>
    <row r="45" spans="1:3" x14ac:dyDescent="0.25">
      <c r="A45" s="15">
        <v>19.29610357809678</v>
      </c>
      <c r="B45" s="18">
        <v>37.61399286705772</v>
      </c>
      <c r="C45" s="18">
        <v>54.12814342108436</v>
      </c>
    </row>
    <row r="46" spans="1:3" x14ac:dyDescent="0.25">
      <c r="A46" s="22">
        <v>19.74485017293624</v>
      </c>
      <c r="B46" s="16">
        <v>39.19561394841738</v>
      </c>
      <c r="C46" s="16">
        <v>56.43974346307156</v>
      </c>
    </row>
    <row r="47" spans="1:3" x14ac:dyDescent="0.25">
      <c r="A47" s="15">
        <v>20.1935967677757</v>
      </c>
      <c r="B47" s="18">
        <v>40.813594135095656</v>
      </c>
      <c r="C47" s="18">
        <v>58.80448373590904</v>
      </c>
    </row>
    <row r="48" spans="1:3" x14ac:dyDescent="0.25">
      <c r="A48" s="22">
        <v>20.64234336261516</v>
      </c>
      <c r="B48" s="16">
        <v>42.46793342709256</v>
      </c>
      <c r="C48" s="16">
        <v>61.22236423959682</v>
      </c>
    </row>
    <row r="49" spans="1:3" x14ac:dyDescent="0.25">
      <c r="A49" s="15">
        <v>21.09108995745462</v>
      </c>
      <c r="B49" s="18">
        <v>44.15863182440806</v>
      </c>
      <c r="C49" s="18">
        <v>63.693384974134865</v>
      </c>
    </row>
    <row r="50" spans="1:3" x14ac:dyDescent="0.25">
      <c r="A50" s="22">
        <v>21.53983655229408</v>
      </c>
      <c r="B50" s="16">
        <v>45.88568932704218</v>
      </c>
      <c r="C50" s="16">
        <v>66.21754593952318</v>
      </c>
    </row>
    <row r="51" spans="1:3" x14ac:dyDescent="0.25">
      <c r="A51" s="15">
        <v>21.98858314713354</v>
      </c>
      <c r="B51" s="18">
        <v>47.64910593499491</v>
      </c>
      <c r="C51" s="18">
        <v>68.79484713576178</v>
      </c>
    </row>
    <row r="52" spans="1:3" x14ac:dyDescent="0.25">
      <c r="A52" s="22">
        <v>22.437329741973</v>
      </c>
      <c r="B52" s="16">
        <v>49.448881648266244</v>
      </c>
      <c r="C52" s="16">
        <v>71.42528856285067</v>
      </c>
    </row>
    <row r="53" spans="1:3" x14ac:dyDescent="0.25">
      <c r="A53" s="15">
        <v>22.88607633681246</v>
      </c>
      <c r="B53" s="18">
        <v>51.28501646685621</v>
      </c>
      <c r="C53" s="18">
        <v>74.10887022078985</v>
      </c>
    </row>
    <row r="54" spans="1:3" x14ac:dyDescent="0.25">
      <c r="A54" s="22">
        <v>23.33482293165192</v>
      </c>
      <c r="B54" s="16">
        <v>53.157510390764784</v>
      </c>
      <c r="C54" s="16">
        <v>76.8455921095793</v>
      </c>
    </row>
    <row r="55" spans="1:3" x14ac:dyDescent="0.25">
      <c r="A55" s="15">
        <v>23.78356952649138</v>
      </c>
      <c r="B55" s="18">
        <v>55.06636341999196</v>
      </c>
      <c r="C55" s="18">
        <v>79.63545422921902</v>
      </c>
    </row>
    <row r="56" spans="1:3" x14ac:dyDescent="0.25">
      <c r="A56" s="22">
        <v>24.23231612133084</v>
      </c>
      <c r="B56" s="16">
        <v>57.01157555453775</v>
      </c>
      <c r="C56" s="16">
        <v>82.47845657970903</v>
      </c>
    </row>
    <row r="57" spans="1:3" x14ac:dyDescent="0.25">
      <c r="A57" s="15">
        <v>24.6810627161703</v>
      </c>
      <c r="B57" s="18">
        <v>58.99314679440215</v>
      </c>
      <c r="C57" s="18">
        <v>85.3745991610493</v>
      </c>
    </row>
    <row r="58" spans="1:3" x14ac:dyDescent="0.25">
      <c r="A58" s="22">
        <v>25.12980931100976</v>
      </c>
      <c r="B58" s="16">
        <v>61.011077139585176</v>
      </c>
      <c r="C58" s="16">
        <v>88.32388197323986</v>
      </c>
    </row>
    <row r="59" spans="1:3" x14ac:dyDescent="0.25">
      <c r="A59" s="15">
        <v>25.57855590584922</v>
      </c>
      <c r="B59" s="18">
        <v>63.06536659008683</v>
      </c>
      <c r="C59" s="18">
        <v>91.32630501628076</v>
      </c>
    </row>
    <row r="60" spans="1:3" x14ac:dyDescent="0.25">
      <c r="A60" s="22">
        <v>26.02730250068868</v>
      </c>
      <c r="B60" s="16">
        <v>65.15601514590708</v>
      </c>
      <c r="C60" s="16">
        <v>94.38186829017188</v>
      </c>
    </row>
    <row r="61" spans="1:3" x14ac:dyDescent="0.25">
      <c r="A61" s="15">
        <v>26.47604909552814</v>
      </c>
      <c r="B61" s="18">
        <v>67.28302280704592</v>
      </c>
      <c r="C61" s="18">
        <v>97.49057179491328</v>
      </c>
    </row>
    <row r="62" spans="1:3" x14ac:dyDescent="0.25">
      <c r="A62" s="22">
        <v>26.9247956903676</v>
      </c>
      <c r="B62" s="16">
        <v>69.4463895735034</v>
      </c>
      <c r="C62" s="16">
        <v>100.65241553050497</v>
      </c>
    </row>
  </sheetData>
  <pageMargins left="0.75" right="0.75" top="1" bottom="1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CurvaMax</vt:lpstr>
      <vt:lpstr>CurvaMin</vt:lpstr>
      <vt:lpstr>Bomba 1</vt:lpstr>
      <vt:lpstr>Bomba 2</vt:lpstr>
      <vt:lpstr>Bomba 3</vt:lpstr>
      <vt:lpstr>CurvasSistema</vt:lpstr>
      <vt:lpstr>'Bomba 1'!Print_Area</vt:lpstr>
      <vt:lpstr>'Bomba 2'!Print_Area</vt:lpstr>
      <vt:lpstr>'Bomba 3'!Print_Area</vt:lpstr>
      <vt:lpstr>CurvaMax!Print_Area</vt:lpstr>
      <vt:lpstr>CurvaMin!Print_Area</vt:lpstr>
      <vt:lpstr>CurvasSistema!Print_Area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Seleção de bombas — Estação sintética — otimização</dc:title>
  <dc:creator>Pump Selector contributors</dc:creator>
  <cp:lastModifiedBy>Pump Selector contributors</cp:lastModifiedBy>
  <dcterms:created xsi:type="dcterms:W3CDTF">2026-09-15T03:18:50Z</dcterms:created>
  <dcterms:modified xsi:type="dcterms:W3CDTF">2026-09-15T21:05:44Z</dcterms:modified>
</cp:coreProperties>
</file>